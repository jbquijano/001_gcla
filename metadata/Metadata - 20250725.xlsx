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e52e2d3497fb996/Academics/Work/Papers/001_gcla/Analyses 2025/raw_data/"/>
    </mc:Choice>
  </mc:AlternateContent>
  <xr:revisionPtr revIDLastSave="114" documentId="8_{786F2C18-1A41-4725-9CDF-CBBBE21F4BF4}" xr6:coauthVersionLast="47" xr6:coauthVersionMax="47" xr10:uidLastSave="{B375A45C-60DF-4654-8A0A-24027E62F0EB}"/>
  <bookViews>
    <workbookView xWindow="-23148" yWindow="4248" windowWidth="23256" windowHeight="13176" xr2:uid="{B9CC1F1D-4563-451E-9A17-74721EF08149}"/>
  </bookViews>
  <sheets>
    <sheet name="Metadata - 20250725" sheetId="1" r:id="rId1"/>
    <sheet name="WithCOI" sheetId="3" r:id="rId2"/>
    <sheet name="WithITS2" sheetId="2" r:id="rId3"/>
  </sheets>
  <definedNames>
    <definedName name="_xlnm._FilterDatabase" localSheetId="0" hidden="1">'Metadata - 20250725'!$A$1:$Z$216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6" i="1" l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6" i="1"/>
  <c r="H145" i="1"/>
  <c r="H144" i="1"/>
  <c r="H143" i="1"/>
  <c r="H142" i="1"/>
  <c r="H141" i="1"/>
  <c r="H140" i="1"/>
  <c r="H139" i="1"/>
  <c r="H138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4" i="1"/>
  <c r="H22" i="1"/>
  <c r="H21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4" i="1"/>
  <c r="H3" i="1"/>
  <c r="H2" i="1"/>
  <c r="B216" i="1"/>
  <c r="B215" i="1"/>
  <c r="B214" i="1"/>
  <c r="B213" i="1"/>
  <c r="B212" i="1"/>
  <c r="B211" i="1"/>
  <c r="B210" i="1"/>
  <c r="B209" i="1"/>
  <c r="B208" i="1"/>
  <c r="B207" i="1"/>
  <c r="B206" i="1"/>
  <c r="B205" i="1"/>
  <c r="B204" i="1"/>
  <c r="B203" i="1"/>
  <c r="B202" i="1"/>
  <c r="B201" i="1"/>
  <c r="B200" i="1"/>
  <c r="B199" i="1"/>
  <c r="B198" i="1"/>
  <c r="B197" i="1"/>
  <c r="B196" i="1"/>
  <c r="B195" i="1"/>
  <c r="B194" i="1"/>
  <c r="B193" i="1"/>
  <c r="B192" i="1"/>
  <c r="B191" i="1"/>
  <c r="B190" i="1"/>
  <c r="B189" i="1"/>
  <c r="B188" i="1"/>
  <c r="B187" i="1"/>
  <c r="B186" i="1"/>
  <c r="B185" i="1"/>
  <c r="B184" i="1"/>
  <c r="B183" i="1"/>
  <c r="B182" i="1"/>
  <c r="B181" i="1"/>
  <c r="B180" i="1"/>
  <c r="B179" i="1"/>
  <c r="B178" i="1"/>
  <c r="B177" i="1"/>
  <c r="B176" i="1"/>
  <c r="B175" i="1"/>
  <c r="B174" i="1"/>
  <c r="B173" i="1"/>
  <c r="B172" i="1"/>
  <c r="B171" i="1"/>
  <c r="B170" i="1"/>
  <c r="B169" i="1"/>
  <c r="B168" i="1"/>
  <c r="B167" i="1"/>
  <c r="B166" i="1"/>
  <c r="B165" i="1"/>
  <c r="B164" i="1"/>
  <c r="B163" i="1"/>
  <c r="B162" i="1"/>
  <c r="B161" i="1"/>
  <c r="B160" i="1"/>
  <c r="B159" i="1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4" i="1"/>
  <c r="B23" i="1"/>
  <c r="B20" i="1"/>
  <c r="B22" i="1"/>
  <c r="B21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25" i="1"/>
  <c r="B4" i="1"/>
  <c r="B3" i="1"/>
  <c r="B2" i="1"/>
  <c r="C216" i="1"/>
  <c r="C215" i="1"/>
  <c r="C214" i="1"/>
  <c r="C213" i="1"/>
  <c r="C212" i="1"/>
  <c r="C211" i="1"/>
  <c r="C210" i="1"/>
  <c r="C209" i="1"/>
  <c r="D209" i="1" s="1"/>
  <c r="C208" i="1"/>
  <c r="D208" i="1" s="1"/>
  <c r="C207" i="1"/>
  <c r="C206" i="1"/>
  <c r="C205" i="1"/>
  <c r="C204" i="1"/>
  <c r="C203" i="1"/>
  <c r="C202" i="1"/>
  <c r="C201" i="1"/>
  <c r="C200" i="1"/>
  <c r="C199" i="1"/>
  <c r="C198" i="1"/>
  <c r="C197" i="1"/>
  <c r="D197" i="1" s="1"/>
  <c r="C196" i="1"/>
  <c r="D196" i="1" s="1"/>
  <c r="C195" i="1"/>
  <c r="C194" i="1"/>
  <c r="C193" i="1"/>
  <c r="C192" i="1"/>
  <c r="C191" i="1"/>
  <c r="C190" i="1"/>
  <c r="C189" i="1"/>
  <c r="C188" i="1"/>
  <c r="C187" i="1"/>
  <c r="C186" i="1"/>
  <c r="C185" i="1"/>
  <c r="D185" i="1" s="1"/>
  <c r="C184" i="1"/>
  <c r="D184" i="1" s="1"/>
  <c r="C183" i="1"/>
  <c r="C182" i="1"/>
  <c r="C181" i="1"/>
  <c r="C180" i="1"/>
  <c r="C179" i="1"/>
  <c r="C178" i="1"/>
  <c r="C177" i="1"/>
  <c r="C176" i="1"/>
  <c r="C175" i="1"/>
  <c r="C174" i="1"/>
  <c r="C173" i="1"/>
  <c r="D173" i="1" s="1"/>
  <c r="C172" i="1"/>
  <c r="D172" i="1" s="1"/>
  <c r="C171" i="1"/>
  <c r="C170" i="1"/>
  <c r="C169" i="1"/>
  <c r="C168" i="1"/>
  <c r="C167" i="1"/>
  <c r="C166" i="1"/>
  <c r="C165" i="1"/>
  <c r="C164" i="1"/>
  <c r="C163" i="1"/>
  <c r="C162" i="1"/>
  <c r="C161" i="1"/>
  <c r="D161" i="1" s="1"/>
  <c r="C160" i="1"/>
  <c r="D160" i="1" s="1"/>
  <c r="C159" i="1"/>
  <c r="C158" i="1"/>
  <c r="C157" i="1"/>
  <c r="C156" i="1"/>
  <c r="C155" i="1"/>
  <c r="C154" i="1"/>
  <c r="C153" i="1"/>
  <c r="C152" i="1"/>
  <c r="C151" i="1"/>
  <c r="C150" i="1"/>
  <c r="C149" i="1"/>
  <c r="D149" i="1" s="1"/>
  <c r="C148" i="1"/>
  <c r="D148" i="1" s="1"/>
  <c r="C147" i="1"/>
  <c r="C146" i="1"/>
  <c r="C145" i="1"/>
  <c r="C144" i="1"/>
  <c r="C143" i="1"/>
  <c r="C142" i="1"/>
  <c r="C141" i="1"/>
  <c r="C140" i="1"/>
  <c r="C139" i="1"/>
  <c r="C138" i="1"/>
  <c r="C137" i="1"/>
  <c r="D137" i="1" s="1"/>
  <c r="C136" i="1"/>
  <c r="D136" i="1" s="1"/>
  <c r="C135" i="1"/>
  <c r="C134" i="1"/>
  <c r="C133" i="1"/>
  <c r="C132" i="1"/>
  <c r="C131" i="1"/>
  <c r="C130" i="1"/>
  <c r="C129" i="1"/>
  <c r="C128" i="1"/>
  <c r="C127" i="1"/>
  <c r="C126" i="1"/>
  <c r="C125" i="1"/>
  <c r="D125" i="1" s="1"/>
  <c r="C124" i="1"/>
  <c r="D124" i="1" s="1"/>
  <c r="C123" i="1"/>
  <c r="C122" i="1"/>
  <c r="C121" i="1"/>
  <c r="C120" i="1"/>
  <c r="C119" i="1"/>
  <c r="C118" i="1"/>
  <c r="C117" i="1"/>
  <c r="C116" i="1"/>
  <c r="C115" i="1"/>
  <c r="C114" i="1"/>
  <c r="C113" i="1"/>
  <c r="D113" i="1" s="1"/>
  <c r="C112" i="1"/>
  <c r="D112" i="1" s="1"/>
  <c r="C111" i="1"/>
  <c r="C110" i="1"/>
  <c r="C109" i="1"/>
  <c r="C108" i="1"/>
  <c r="C107" i="1"/>
  <c r="C106" i="1"/>
  <c r="C105" i="1"/>
  <c r="C104" i="1"/>
  <c r="C103" i="1"/>
  <c r="C102" i="1"/>
  <c r="C101" i="1"/>
  <c r="D101" i="1" s="1"/>
  <c r="C100" i="1"/>
  <c r="D100" i="1" s="1"/>
  <c r="C99" i="1"/>
  <c r="C98" i="1"/>
  <c r="C97" i="1"/>
  <c r="C96" i="1"/>
  <c r="C95" i="1"/>
  <c r="C94" i="1"/>
  <c r="C93" i="1"/>
  <c r="C92" i="1"/>
  <c r="C91" i="1"/>
  <c r="C90" i="1"/>
  <c r="C89" i="1"/>
  <c r="D89" i="1" s="1"/>
  <c r="C88" i="1"/>
  <c r="D88" i="1" s="1"/>
  <c r="C87" i="1"/>
  <c r="C86" i="1"/>
  <c r="C85" i="1"/>
  <c r="C84" i="1"/>
  <c r="C83" i="1"/>
  <c r="C82" i="1"/>
  <c r="C81" i="1"/>
  <c r="C80" i="1"/>
  <c r="C79" i="1"/>
  <c r="C78" i="1"/>
  <c r="C77" i="1"/>
  <c r="D77" i="1" s="1"/>
  <c r="C76" i="1"/>
  <c r="D76" i="1" s="1"/>
  <c r="C75" i="1"/>
  <c r="C74" i="1"/>
  <c r="C73" i="1"/>
  <c r="C72" i="1"/>
  <c r="C71" i="1"/>
  <c r="C70" i="1"/>
  <c r="C69" i="1"/>
  <c r="C68" i="1"/>
  <c r="C67" i="1"/>
  <c r="C66" i="1"/>
  <c r="C65" i="1"/>
  <c r="D65" i="1" s="1"/>
  <c r="C64" i="1"/>
  <c r="D64" i="1" s="1"/>
  <c r="C63" i="1"/>
  <c r="C62" i="1"/>
  <c r="C61" i="1"/>
  <c r="C60" i="1"/>
  <c r="C59" i="1"/>
  <c r="C58" i="1"/>
  <c r="C57" i="1"/>
  <c r="C56" i="1"/>
  <c r="C55" i="1"/>
  <c r="C54" i="1"/>
  <c r="C53" i="1"/>
  <c r="D53" i="1" s="1"/>
  <c r="C52" i="1"/>
  <c r="D52" i="1" s="1"/>
  <c r="C51" i="1"/>
  <c r="C50" i="1"/>
  <c r="C49" i="1"/>
  <c r="C48" i="1"/>
  <c r="C47" i="1"/>
  <c r="C46" i="1"/>
  <c r="C45" i="1"/>
  <c r="C44" i="1"/>
  <c r="C43" i="1"/>
  <c r="C42" i="1"/>
  <c r="C41" i="1"/>
  <c r="D41" i="1" s="1"/>
  <c r="C40" i="1"/>
  <c r="D40" i="1" s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4" i="1"/>
  <c r="C23" i="1"/>
  <c r="C20" i="1"/>
  <c r="C22" i="1"/>
  <c r="C21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25" i="1"/>
  <c r="C4" i="1"/>
  <c r="C3" i="1"/>
  <c r="C2" i="1"/>
  <c r="D26" i="1" l="1"/>
  <c r="D32" i="1"/>
  <c r="D33" i="1"/>
  <c r="D12" i="1"/>
  <c r="D24" i="1"/>
  <c r="D37" i="1"/>
  <c r="D49" i="1"/>
  <c r="D61" i="1"/>
  <c r="D73" i="1"/>
  <c r="D85" i="1"/>
  <c r="D97" i="1"/>
  <c r="D109" i="1"/>
  <c r="D121" i="1"/>
  <c r="D133" i="1"/>
  <c r="D145" i="1"/>
  <c r="D157" i="1"/>
  <c r="D169" i="1"/>
  <c r="D181" i="1"/>
  <c r="D193" i="1"/>
  <c r="D205" i="1"/>
  <c r="D38" i="1"/>
  <c r="D50" i="1"/>
  <c r="D62" i="1"/>
  <c r="D74" i="1"/>
  <c r="D86" i="1"/>
  <c r="D98" i="1"/>
  <c r="D110" i="1"/>
  <c r="D122" i="1"/>
  <c r="D134" i="1"/>
  <c r="D146" i="1"/>
  <c r="D158" i="1"/>
  <c r="D170" i="1"/>
  <c r="D182" i="1"/>
  <c r="D194" i="1"/>
  <c r="D206" i="1"/>
  <c r="D3" i="1"/>
  <c r="D14" i="1"/>
  <c r="D27" i="1"/>
  <c r="D39" i="1"/>
  <c r="D51" i="1"/>
  <c r="D63" i="1"/>
  <c r="D75" i="1"/>
  <c r="D87" i="1"/>
  <c r="D99" i="1"/>
  <c r="D111" i="1"/>
  <c r="D123" i="1"/>
  <c r="D135" i="1"/>
  <c r="D147" i="1"/>
  <c r="D159" i="1"/>
  <c r="D171" i="1"/>
  <c r="D183" i="1"/>
  <c r="D195" i="1"/>
  <c r="D207" i="1"/>
  <c r="D7" i="1"/>
  <c r="D8" i="1"/>
  <c r="D2" i="1"/>
  <c r="D4" i="1"/>
  <c r="D15" i="1"/>
  <c r="D28" i="1"/>
  <c r="D19" i="1"/>
  <c r="D21" i="1"/>
  <c r="D13" i="1"/>
  <c r="D25" i="1"/>
  <c r="D16" i="1"/>
  <c r="D29" i="1"/>
  <c r="D5" i="1"/>
  <c r="D17" i="1"/>
  <c r="D30" i="1"/>
  <c r="D42" i="1"/>
  <c r="D54" i="1"/>
  <c r="D66" i="1"/>
  <c r="D78" i="1"/>
  <c r="D90" i="1"/>
  <c r="D102" i="1"/>
  <c r="D114" i="1"/>
  <c r="D126" i="1"/>
  <c r="D138" i="1"/>
  <c r="D150" i="1"/>
  <c r="D162" i="1"/>
  <c r="D174" i="1"/>
  <c r="D186" i="1"/>
  <c r="D198" i="1"/>
  <c r="D210" i="1"/>
  <c r="D6" i="1"/>
  <c r="D18" i="1"/>
  <c r="D31" i="1"/>
  <c r="D43" i="1"/>
  <c r="D55" i="1"/>
  <c r="D67" i="1"/>
  <c r="D79" i="1"/>
  <c r="D91" i="1"/>
  <c r="D103" i="1"/>
  <c r="D115" i="1"/>
  <c r="D127" i="1"/>
  <c r="D139" i="1"/>
  <c r="D151" i="1"/>
  <c r="D163" i="1"/>
  <c r="D175" i="1"/>
  <c r="D187" i="1"/>
  <c r="D199" i="1"/>
  <c r="D211" i="1"/>
  <c r="D44" i="1"/>
  <c r="D56" i="1"/>
  <c r="D68" i="1"/>
  <c r="D80" i="1"/>
  <c r="D92" i="1"/>
  <c r="D104" i="1"/>
  <c r="D116" i="1"/>
  <c r="D128" i="1"/>
  <c r="D140" i="1"/>
  <c r="D152" i="1"/>
  <c r="D164" i="1"/>
  <c r="D176" i="1"/>
  <c r="D188" i="1"/>
  <c r="D200" i="1"/>
  <c r="D212" i="1"/>
  <c r="D45" i="1"/>
  <c r="D57" i="1"/>
  <c r="D69" i="1"/>
  <c r="D81" i="1"/>
  <c r="D93" i="1"/>
  <c r="D105" i="1"/>
  <c r="D117" i="1"/>
  <c r="D129" i="1"/>
  <c r="D141" i="1"/>
  <c r="D153" i="1"/>
  <c r="D165" i="1"/>
  <c r="D177" i="1"/>
  <c r="D189" i="1"/>
  <c r="D201" i="1"/>
  <c r="D213" i="1"/>
  <c r="D9" i="1"/>
  <c r="D22" i="1"/>
  <c r="D34" i="1"/>
  <c r="D46" i="1"/>
  <c r="D58" i="1"/>
  <c r="D70" i="1"/>
  <c r="D82" i="1"/>
  <c r="D94" i="1"/>
  <c r="D106" i="1"/>
  <c r="D118" i="1"/>
  <c r="D130" i="1"/>
  <c r="D142" i="1"/>
  <c r="D154" i="1"/>
  <c r="D166" i="1"/>
  <c r="D178" i="1"/>
  <c r="D190" i="1"/>
  <c r="D202" i="1"/>
  <c r="D214" i="1"/>
  <c r="D10" i="1"/>
  <c r="D20" i="1"/>
  <c r="D35" i="1"/>
  <c r="D47" i="1"/>
  <c r="D59" i="1"/>
  <c r="D71" i="1"/>
  <c r="D83" i="1"/>
  <c r="D95" i="1"/>
  <c r="D107" i="1"/>
  <c r="D119" i="1"/>
  <c r="D131" i="1"/>
  <c r="D143" i="1"/>
  <c r="D155" i="1"/>
  <c r="D167" i="1"/>
  <c r="D179" i="1"/>
  <c r="D191" i="1"/>
  <c r="D203" i="1"/>
  <c r="D215" i="1"/>
  <c r="D11" i="1"/>
  <c r="D23" i="1"/>
  <c r="D36" i="1"/>
  <c r="D48" i="1"/>
  <c r="D60" i="1"/>
  <c r="D72" i="1"/>
  <c r="D84" i="1"/>
  <c r="D96" i="1"/>
  <c r="D108" i="1"/>
  <c r="D120" i="1"/>
  <c r="D132" i="1"/>
  <c r="D144" i="1"/>
  <c r="D156" i="1"/>
  <c r="D168" i="1"/>
  <c r="D180" i="1"/>
  <c r="D192" i="1"/>
  <c r="D204" i="1"/>
  <c r="D2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John Bennedick Quijano</author>
  </authors>
  <commentList>
    <comment ref="I1" authorId="0" shapeId="0" xr:uid="{A9E87C9C-D9E2-427E-A00F-81604CC139C9}">
      <text>
        <r>
          <rPr>
            <b/>
            <sz val="9"/>
            <color indexed="81"/>
            <rFont val="Tahoma"/>
            <charset val="1"/>
          </rPr>
          <t>John Bennedick Quijano:</t>
        </r>
        <r>
          <rPr>
            <sz val="9"/>
            <color indexed="81"/>
            <rFont val="Tahoma"/>
            <charset val="1"/>
          </rPr>
          <t xml:space="preserve">
Standardized sample name before 25-Jul-2025</t>
        </r>
      </text>
    </comment>
  </commentList>
</comments>
</file>

<file path=xl/sharedStrings.xml><?xml version="1.0" encoding="utf-8"?>
<sst xmlns="http://schemas.openxmlformats.org/spreadsheetml/2006/main" count="2764" uniqueCount="952">
  <si>
    <t>SampleName</t>
  </si>
  <si>
    <t>SequencingBatch</t>
  </si>
  <si>
    <t>Sequencing run</t>
  </si>
  <si>
    <t>fastq_fwd_file_name</t>
  </si>
  <si>
    <t>fastq_rev_file_name</t>
  </si>
  <si>
    <t>Site</t>
  </si>
  <si>
    <t>Region</t>
  </si>
  <si>
    <t>Latitude</t>
  </si>
  <si>
    <t>Longitude</t>
  </si>
  <si>
    <t>ApproximateShellLength</t>
  </si>
  <si>
    <t>Age</t>
  </si>
  <si>
    <t>CohortYear</t>
  </si>
  <si>
    <t>TransplantationYear</t>
  </si>
  <si>
    <t>TransplantationAge</t>
  </si>
  <si>
    <t>YearsSpentAtTransplantationSite</t>
  </si>
  <si>
    <t>AdditionalSiteInfo</t>
  </si>
  <si>
    <t>AdditionalComments</t>
  </si>
  <si>
    <t>SEM-Hh-1</t>
  </si>
  <si>
    <t>HH01</t>
  </si>
  <si>
    <t>Y2</t>
  </si>
  <si>
    <t>HN00122531</t>
  </si>
  <si>
    <t>SEM-Hh-1_1.fastq.gz</t>
  </si>
  <si>
    <t>SEM-Hh-1_2.fastq.gz</t>
  </si>
  <si>
    <t>Hh</t>
  </si>
  <si>
    <t>Semirara</t>
  </si>
  <si>
    <t>Antique</t>
  </si>
  <si>
    <t>APO-B-Hh-1</t>
  </si>
  <si>
    <t>HH02</t>
  </si>
  <si>
    <t>HN00125113</t>
  </si>
  <si>
    <t>APO-B-Hh-1_1.fastq.gz</t>
  </si>
  <si>
    <t>APO-B-Hh-1_2.fastq.gz</t>
  </si>
  <si>
    <t>Binanggaan</t>
  </si>
  <si>
    <t>ARNP</t>
  </si>
  <si>
    <t>APO-B-Hh-4</t>
  </si>
  <si>
    <t>HH03</t>
  </si>
  <si>
    <t>APO-B-Hh-4_1.fastq.gz</t>
  </si>
  <si>
    <t>APO-B-Hh-4_2.fastq.gz</t>
  </si>
  <si>
    <t>APO-B-Hh-6</t>
  </si>
  <si>
    <t>HH04</t>
  </si>
  <si>
    <t>APO-B-Hh-6_1.fastq.gz</t>
  </si>
  <si>
    <t>APO-B-Hh-6_2.fastq.gz</t>
  </si>
  <si>
    <t>APO-B-Hp-4</t>
  </si>
  <si>
    <t>HH05</t>
  </si>
  <si>
    <t>APO-B-Hp-4_1.fastq.gz</t>
  </si>
  <si>
    <t>APO-B-Hp-4_2.fastq.gz</t>
  </si>
  <si>
    <t>SEM-Hh-2</t>
  </si>
  <si>
    <t>HH06</t>
  </si>
  <si>
    <t>SEM-Hh-2_1.fastq.gz</t>
  </si>
  <si>
    <t>SEM-Hh-2_2.fastq.gz</t>
  </si>
  <si>
    <t>SEM-Hh-4</t>
  </si>
  <si>
    <t>HH07</t>
  </si>
  <si>
    <t>SEM-Hh-4_1.fastq.gz</t>
  </si>
  <si>
    <t>SEM-Hh-4_2.fastq.gz</t>
  </si>
  <si>
    <t>Bohol_Hh_1</t>
  </si>
  <si>
    <t>HH08</t>
  </si>
  <si>
    <t>Y3</t>
  </si>
  <si>
    <t>HN00138609</t>
  </si>
  <si>
    <t>Bohol_Hh_1_1.fastq.gz</t>
  </si>
  <si>
    <t>Bohol_Hh_1_2.fastq.gz</t>
  </si>
  <si>
    <t>Bohol</t>
  </si>
  <si>
    <t>Bohol_Hh_2</t>
  </si>
  <si>
    <t>HH09</t>
  </si>
  <si>
    <t>Bohol_Hh_2_1.fastq.gz</t>
  </si>
  <si>
    <t>Bohol_Hh_2_2.fastq.gz</t>
  </si>
  <si>
    <t>Bohol_Hh_3</t>
  </si>
  <si>
    <t>HH10</t>
  </si>
  <si>
    <t>Bohol_Hh_3_1.fastq.gz</t>
  </si>
  <si>
    <t>Bohol_Hh_3_2.fastq.gz</t>
  </si>
  <si>
    <t>Camiguin_Hh_1</t>
  </si>
  <si>
    <t>HH11</t>
  </si>
  <si>
    <t>Camiguin_Hh_1_1.fastq.gz</t>
  </si>
  <si>
    <t>Camiguin_Hh_1_2.fastq.gz</t>
  </si>
  <si>
    <t>Camiguin</t>
  </si>
  <si>
    <t>Camiguin_Hh_2</t>
  </si>
  <si>
    <t>HH12</t>
  </si>
  <si>
    <t>Camiguin_Hh_2_1.fastq.gz</t>
  </si>
  <si>
    <t>Camiguin_Hh_2_2.fastq.gz</t>
  </si>
  <si>
    <t>Camiguin_Hh_3</t>
  </si>
  <si>
    <t>HH13</t>
  </si>
  <si>
    <t>Camiguin_Hh_3_1.fastq.gz</t>
  </si>
  <si>
    <t>Camiguin_Hh_3_2.fastq.gz</t>
  </si>
  <si>
    <t>Samar_Hh_1</t>
  </si>
  <si>
    <t>HH14</t>
  </si>
  <si>
    <t>Samar_Hh_1_1.fastq.gz</t>
  </si>
  <si>
    <t>Samar_Hh_1_2.fastq.gz</t>
  </si>
  <si>
    <t>Guiuan</t>
  </si>
  <si>
    <t>Samar</t>
  </si>
  <si>
    <t>Samar_Hh_3</t>
  </si>
  <si>
    <t>HH15</t>
  </si>
  <si>
    <t>Samar_Hh_3_1.fastq.gz</t>
  </si>
  <si>
    <t>Samar_Hh_3_2.fastq.gz</t>
  </si>
  <si>
    <t>Samar_Hh_4</t>
  </si>
  <si>
    <t>HH16</t>
  </si>
  <si>
    <t>Samar_Hh_4_1.fastq.gz</t>
  </si>
  <si>
    <t>Samar_Hh_4_2.fastq.gz</t>
  </si>
  <si>
    <t>SIL_Hh_1</t>
  </si>
  <si>
    <t>HH17</t>
  </si>
  <si>
    <t>HN00147512</t>
  </si>
  <si>
    <t>SIL_Hh_1_1.fastq.gz</t>
  </si>
  <si>
    <t>SIL_Hh_1_2.fastq.gz</t>
  </si>
  <si>
    <t>Silaqui</t>
  </si>
  <si>
    <t>Bolinao</t>
  </si>
  <si>
    <t>SIL_Hh_2</t>
  </si>
  <si>
    <t>HH18</t>
  </si>
  <si>
    <t>SIL_Hh_2_1.fastq.gz</t>
  </si>
  <si>
    <t>SIL_Hh_2_2.fastq.gz</t>
  </si>
  <si>
    <t>SIL_Hh_3</t>
  </si>
  <si>
    <t>HH19</t>
  </si>
  <si>
    <t>SIL_Hh_3_1.fastq.gz</t>
  </si>
  <si>
    <t>SIL_Hh_3_2.fastq.gz</t>
  </si>
  <si>
    <t>SEM-Hp-1</t>
  </si>
  <si>
    <t>HP01</t>
  </si>
  <si>
    <t>SEM-Hp-1_1.fastq.gz</t>
  </si>
  <si>
    <t>SEM-Hp-1_2.fastq.gz</t>
  </si>
  <si>
    <t>Hp</t>
  </si>
  <si>
    <t>SEM-Hp-2</t>
  </si>
  <si>
    <t>HP02</t>
  </si>
  <si>
    <t>SEM-Hp-2_1.fastq.gz</t>
  </si>
  <si>
    <t>SEM-Hp-2_2.fastq.gz</t>
  </si>
  <si>
    <t>APO-B-Hp-1</t>
  </si>
  <si>
    <t>HP03</t>
  </si>
  <si>
    <t>APO-B-Hp-1_1.fastq.gz</t>
  </si>
  <si>
    <t>APO-B-Hp-1_2.fastq.gz</t>
  </si>
  <si>
    <t>APO-B-Hp-6</t>
  </si>
  <si>
    <t>HP04</t>
  </si>
  <si>
    <t>APO-B-Hp-6_1.fastq.gz</t>
  </si>
  <si>
    <t>APO-B-Hp-6_2.fastq.gz</t>
  </si>
  <si>
    <t>SEM-Hp-4</t>
  </si>
  <si>
    <t>HP05</t>
  </si>
  <si>
    <t>SEM-Hp-4_1.fastq.gz</t>
  </si>
  <si>
    <t>SEM-Hp-4_2.fastq.gz</t>
  </si>
  <si>
    <t>SEMIRARA-Tc-10</t>
  </si>
  <si>
    <t>TC01</t>
  </si>
  <si>
    <t>Y1</t>
  </si>
  <si>
    <t>HN00102818</t>
  </si>
  <si>
    <t>SEMIRARA-Tc-10_1.fastq.gz</t>
  </si>
  <si>
    <t>SEMIRARA-Tc-10_2.fastq.gz</t>
  </si>
  <si>
    <t>Tc</t>
  </si>
  <si>
    <t>SEMIRARA-Tc-7</t>
  </si>
  <si>
    <t>TC02</t>
  </si>
  <si>
    <t>SEMIRARA-Tc-7_1.fastq.gz</t>
  </si>
  <si>
    <t>SEMIRARA-Tc-7_2.fastq.gz</t>
  </si>
  <si>
    <t>SEMIRARA-Tc-8</t>
  </si>
  <si>
    <t>TC03</t>
  </si>
  <si>
    <t>SEMIRARA-Tc-8_1.fastq.gz</t>
  </si>
  <si>
    <t>SEMIRARA-Tc-8_2.fastq.gz</t>
  </si>
  <si>
    <t>SEMIRARA-Tm-3</t>
  </si>
  <si>
    <t>TC04</t>
  </si>
  <si>
    <t>SEMIRARA-Tm-3_1.fastq.gz</t>
  </si>
  <si>
    <t>SEMIRARA-Tm-3_2.fastq.gz</t>
  </si>
  <si>
    <t>SEMIRARA-Tm-5</t>
  </si>
  <si>
    <t>TC05</t>
  </si>
  <si>
    <t>SEMIRARA-Tm-5_1.fastq.gz</t>
  </si>
  <si>
    <t>SEMIRARA-Tm-5_2.fastq.gz</t>
  </si>
  <si>
    <t>APO-SA-Tc-3</t>
  </si>
  <si>
    <t>TC06</t>
  </si>
  <si>
    <t>APO-SA-Tc-3_1.fastq.gz</t>
  </si>
  <si>
    <t>APO-SA-Tc-3_2.fastq.gz</t>
  </si>
  <si>
    <t>South Atoll</t>
  </si>
  <si>
    <t>APO-SA-Tc-5</t>
  </si>
  <si>
    <t>TC07</t>
  </si>
  <si>
    <t>APO-SA-Tc-5_1.fastq.gz</t>
  </si>
  <si>
    <t>APO-SA-Tc-5_2.fastq.gz</t>
  </si>
  <si>
    <t>MAS-Tc-2</t>
  </si>
  <si>
    <t>TC08</t>
  </si>
  <si>
    <t>MAS-Tc-2_1.fastq.gz</t>
  </si>
  <si>
    <t>MAS-Tc-2_2.fastq.gz</t>
  </si>
  <si>
    <t>Masinloc</t>
  </si>
  <si>
    <t>Zambales</t>
  </si>
  <si>
    <t>MAS-Tc-3</t>
  </si>
  <si>
    <t>TC09</t>
  </si>
  <si>
    <t>MAS-Tc-3_1.fastq.gz</t>
  </si>
  <si>
    <t>MAS-Tc-3_2.fastq.gz</t>
  </si>
  <si>
    <t>MAS-Tc-4</t>
  </si>
  <si>
    <t>TC10</t>
  </si>
  <si>
    <t>MAS-Tc-4_1.fastq.gz</t>
  </si>
  <si>
    <t>MAS-Tc-4_2.fastq.gz</t>
  </si>
  <si>
    <t>MAS-Tm-1</t>
  </si>
  <si>
    <t>TC11</t>
  </si>
  <si>
    <t>MAS-Tm-1_1.fastq.gz</t>
  </si>
  <si>
    <t>MAS-Tm-1_2.fastq.gz</t>
  </si>
  <si>
    <t>MAS-Tm-2</t>
  </si>
  <si>
    <t>TC12</t>
  </si>
  <si>
    <t>MAS-Tm-2_1.fastq.gz</t>
  </si>
  <si>
    <t>MAS-Tm-2_2.fastq.gz</t>
  </si>
  <si>
    <t>MAS-Tm-3</t>
  </si>
  <si>
    <t>TC13</t>
  </si>
  <si>
    <t>MAS-Tm-3_1.fastq.gz</t>
  </si>
  <si>
    <t>MAS-Tm-3_2.fastq.gz</t>
  </si>
  <si>
    <t>APO-A-Tc-3</t>
  </si>
  <si>
    <t>TC14</t>
  </si>
  <si>
    <t>APO-A-Tc-3_1.fastq.gz</t>
  </si>
  <si>
    <t>APO-A-Tc-3_2.fastq.gz</t>
  </si>
  <si>
    <t>Aladin</t>
  </si>
  <si>
    <t>APO-A-Tc-5</t>
  </si>
  <si>
    <t>TC15</t>
  </si>
  <si>
    <t>APO-A-Tc-5_1.fastq.gz</t>
  </si>
  <si>
    <t>APO-A-Tc-5_2.fastq.gz</t>
  </si>
  <si>
    <t>APO-A-Tc-6</t>
  </si>
  <si>
    <t>TC16</t>
  </si>
  <si>
    <t>APO-A-Tc-6_1.fastq.gz</t>
  </si>
  <si>
    <t>APO-A-Tc-6_2.fastq.gz</t>
  </si>
  <si>
    <t>APO-A-Tm-1</t>
  </si>
  <si>
    <t>TC17</t>
  </si>
  <si>
    <t>APO-A-Tm-1_1.fastq.gz</t>
  </si>
  <si>
    <t>APO-A-Tm-1_2.fastq.gz</t>
  </si>
  <si>
    <t>Bohol_Tc_2</t>
  </si>
  <si>
    <t>TC18</t>
  </si>
  <si>
    <t>Bohol_Tc_2_1.fastq.gz</t>
  </si>
  <si>
    <t>Bohol_Tc_2_2.fastq.gz</t>
  </si>
  <si>
    <t>Bohol_Tc_4</t>
  </si>
  <si>
    <t>TC19</t>
  </si>
  <si>
    <t>Bohol_Tc_4_1.fastq.gz</t>
  </si>
  <si>
    <t>Bohol_Tc_4_2.fastq.gz</t>
  </si>
  <si>
    <t>Bohol_Tc_5</t>
  </si>
  <si>
    <t>TC20</t>
  </si>
  <si>
    <t>Bohol_Tc_5_1.fastq.gz</t>
  </si>
  <si>
    <t>Bohol_Tc_5_2.fastq.gz</t>
  </si>
  <si>
    <t>Camiguin_Tc_1</t>
  </si>
  <si>
    <t>TC21</t>
  </si>
  <si>
    <t>Camiguin_Tc_1_1.fastq.gz</t>
  </si>
  <si>
    <t>Camiguin_Tc_1_2.fastq.gz</t>
  </si>
  <si>
    <t>Camiguin_Tc_2</t>
  </si>
  <si>
    <t>TC22</t>
  </si>
  <si>
    <t>Camiguin_Tc_2_1.fastq.gz</t>
  </si>
  <si>
    <t>Camiguin_Tc_2_2.fastq.gz</t>
  </si>
  <si>
    <t>Camiguin_Tc_3</t>
  </si>
  <si>
    <t>TC23</t>
  </si>
  <si>
    <t>Camiguin_Tc_3_1.fastq.gz</t>
  </si>
  <si>
    <t>Camiguin_Tc_3_2.fastq.gz</t>
  </si>
  <si>
    <t>Samar_Tc_1</t>
  </si>
  <si>
    <t>TC24</t>
  </si>
  <si>
    <t>Samar_Tc_1_1.fastq.gz</t>
  </si>
  <si>
    <t>Samar_Tc_1_2.fastq.gz</t>
  </si>
  <si>
    <t>Samar_Tc_3</t>
  </si>
  <si>
    <t>TC25</t>
  </si>
  <si>
    <t>Samar_Tc_3_1.fastq.gz</t>
  </si>
  <si>
    <t>Samar_Tc_3_2.fastq.gz</t>
  </si>
  <si>
    <t>Samar_Tc_4</t>
  </si>
  <si>
    <t>TC26</t>
  </si>
  <si>
    <t>Samar_Tc_4_1.fastq.gz</t>
  </si>
  <si>
    <t>Samar_Tc_4_2.fastq.gz</t>
  </si>
  <si>
    <t>ALA_Tc_1</t>
  </si>
  <si>
    <t>TC27</t>
  </si>
  <si>
    <t>ALA_Tc_1_1.fastq.gz</t>
  </si>
  <si>
    <t>ALA_Tc_1_2.fastq.gz</t>
  </si>
  <si>
    <t>HINP</t>
  </si>
  <si>
    <t>Alaminos</t>
  </si>
  <si>
    <t>ALA_Tc_3</t>
  </si>
  <si>
    <t>TC28</t>
  </si>
  <si>
    <t>ALA_Tc_3_1.fastq.gz</t>
  </si>
  <si>
    <t>ALA_Tc_3_2.fastq.gz</t>
  </si>
  <si>
    <t>ALA_Tc_5</t>
  </si>
  <si>
    <t>TC29</t>
  </si>
  <si>
    <t>ALA_Tc_5_1.fastq.gz</t>
  </si>
  <si>
    <t>ALA_Tc_5_2.fastq.gz</t>
  </si>
  <si>
    <t>SEMIRARA-Td-13</t>
  </si>
  <si>
    <t>TD01</t>
  </si>
  <si>
    <t>SEMIRARA-Td-13_1.fastq.gz</t>
  </si>
  <si>
    <t>SEMIRARA-Td-13_2.fastq.gz</t>
  </si>
  <si>
    <t>Td</t>
  </si>
  <si>
    <t>SEMIRARA-Td-21</t>
  </si>
  <si>
    <t>TD02</t>
  </si>
  <si>
    <t>SEMIRARA-Td-21_1.fastq.gz</t>
  </si>
  <si>
    <t>SEMIRARA-Td-21_2.fastq.gz</t>
  </si>
  <si>
    <t>SEMIRARA-Td-22</t>
  </si>
  <si>
    <t>TD03</t>
  </si>
  <si>
    <t>SEMIRARA-Td-22_1.fastq.gz</t>
  </si>
  <si>
    <t>SEMIRARA-Td-22_2.fastq.gz</t>
  </si>
  <si>
    <t>SILAQUI-Td-1</t>
  </si>
  <si>
    <t>TD04</t>
  </si>
  <si>
    <t>SILAQUI-Td-1_1.fastq.gz</t>
  </si>
  <si>
    <t>SILAQUI-Td-1_2.fastq.gz</t>
  </si>
  <si>
    <t>SILAQUI-Td-2</t>
  </si>
  <si>
    <t>TD05</t>
  </si>
  <si>
    <t>SILAQUI-Td-2_1.fastq.gz</t>
  </si>
  <si>
    <t>SILAQUI-Td-2_2.fastq.gz</t>
  </si>
  <si>
    <t>SILAQUI-Td-3</t>
  </si>
  <si>
    <t>TD06</t>
  </si>
  <si>
    <t>SILAQUI-Td-3_1.fastq.gz</t>
  </si>
  <si>
    <t>SILAQUI-Td-3_2.fastq.gz</t>
  </si>
  <si>
    <t>APO-B-Td-2</t>
  </si>
  <si>
    <t>TD07</t>
  </si>
  <si>
    <t>APO-B-Td-2_1.fastq.gz</t>
  </si>
  <si>
    <t>APO-B-Td-2_2.fastq.gz</t>
  </si>
  <si>
    <t>PAL-Td-1</t>
  </si>
  <si>
    <t>TD08</t>
  </si>
  <si>
    <t>PAL-Td-1_1.fastq.gz</t>
  </si>
  <si>
    <t>PAL-Td-1_2.fastq.gz</t>
  </si>
  <si>
    <t>Palawan</t>
  </si>
  <si>
    <t>APO-B-Td-1</t>
  </si>
  <si>
    <t>TD09</t>
  </si>
  <si>
    <t>APO-B-Td-1_1.fastq.gz</t>
  </si>
  <si>
    <t>APO-B-Td-1_2.fastq.gz</t>
  </si>
  <si>
    <t>Camiguin_Td_1</t>
  </si>
  <si>
    <t>TD10</t>
  </si>
  <si>
    <t>Camiguin_Td_1_1.fastq.gz</t>
  </si>
  <si>
    <t>Camiguin_Td_1_2.fastq.gz</t>
  </si>
  <si>
    <t>Camiguin_Td_2</t>
  </si>
  <si>
    <t>TD11</t>
  </si>
  <si>
    <t>Camiguin_Td_2_1.fastq.gz</t>
  </si>
  <si>
    <t>Camiguin_Td_2_2.fastq.gz</t>
  </si>
  <si>
    <t>Camiguin_Td_3</t>
  </si>
  <si>
    <t>TD12</t>
  </si>
  <si>
    <t>Camiguin_Td_3_1.fastq.gz</t>
  </si>
  <si>
    <t>Camiguin_Td_3_2.fastq.gz</t>
  </si>
  <si>
    <t>Samar_Td_2</t>
  </si>
  <si>
    <t>TD13</t>
  </si>
  <si>
    <t>Samar_Td_2_1.fastq.gz</t>
  </si>
  <si>
    <t>Samar_Td_2_2.fastq.gz</t>
  </si>
  <si>
    <t>Samar_Td_3</t>
  </si>
  <si>
    <t>TD14</t>
  </si>
  <si>
    <t>Samar_Td_3_1.fastq.gz</t>
  </si>
  <si>
    <t>Samar_Td_3_2.fastq.gz</t>
  </si>
  <si>
    <t>Samar_Td_4</t>
  </si>
  <si>
    <t>TD15</t>
  </si>
  <si>
    <t>Samar_Td_4_1.fastq.gz</t>
  </si>
  <si>
    <t>Samar_Td_4_2.fastq.gz</t>
  </si>
  <si>
    <t>SIl_Td_1</t>
  </si>
  <si>
    <t>TD16</t>
  </si>
  <si>
    <t>SIl_Td_1_1.fastq.gz</t>
  </si>
  <si>
    <t>SIl_Td_1_2.fastq.gz</t>
  </si>
  <si>
    <t>SIL_Td_2</t>
  </si>
  <si>
    <t>TD17</t>
  </si>
  <si>
    <t>SIL_Td_2_1.fastq.gz</t>
  </si>
  <si>
    <t>SIL_Td_2_2.fastq.gz</t>
  </si>
  <si>
    <t>SIL_Td_3</t>
  </si>
  <si>
    <t>TD18</t>
  </si>
  <si>
    <t>SIL_Td_3_1.fastq.gz</t>
  </si>
  <si>
    <t>SIL_Td_3_2.fastq.gz</t>
  </si>
  <si>
    <t>ALAMINOS-Tg-2</t>
  </si>
  <si>
    <t>TG01</t>
  </si>
  <si>
    <t>ALAMINOS-Tg-2_1.fastq.gz</t>
  </si>
  <si>
    <t>ALAMINOS-Tg-2_2.fastq.gz</t>
  </si>
  <si>
    <t>Tg</t>
  </si>
  <si>
    <t>ALAMINOS-Tg-3</t>
  </si>
  <si>
    <t>TG02</t>
  </si>
  <si>
    <t>ALAMINOS-Tg-3_1.fastq.gz</t>
  </si>
  <si>
    <t>ALAMINOS-Tg-3_2.fastq.gz</t>
  </si>
  <si>
    <t>ALAMINOS-Tg-5</t>
  </si>
  <si>
    <t>TG03</t>
  </si>
  <si>
    <t>ALAMINOS-Tg-5_1.fastq.gz</t>
  </si>
  <si>
    <t>ALAMINOS-Tg-5_2.fastq.gz</t>
  </si>
  <si>
    <t>ALAMINOS-Tg-6</t>
  </si>
  <si>
    <t>TG04</t>
  </si>
  <si>
    <t>ALAMINOS-Tg-6_1.fastq.gz</t>
  </si>
  <si>
    <t>ALAMINOS-Tg-6_2.fastq.gz</t>
  </si>
  <si>
    <t>MABINI-Tg-1</t>
  </si>
  <si>
    <t>TG05</t>
  </si>
  <si>
    <t>MABINI-Tg-1_1.fastq.gz</t>
  </si>
  <si>
    <t>MABINI-Tg-1_2.fastq.gz</t>
  </si>
  <si>
    <t>Mabini</t>
  </si>
  <si>
    <t>Batangas</t>
  </si>
  <si>
    <t>Twin Rocks</t>
  </si>
  <si>
    <t>MABINI-Tg-4</t>
  </si>
  <si>
    <t>TG06</t>
  </si>
  <si>
    <t>MABINI-Tg-4_1.fastq.gz</t>
  </si>
  <si>
    <t>MABINI-Tg-4_2.fastq.gz</t>
  </si>
  <si>
    <t>MABINI-Tg-5</t>
  </si>
  <si>
    <t>TG07</t>
  </si>
  <si>
    <t>MABINI-Tg-5_1.fastq.gz</t>
  </si>
  <si>
    <t>MABINI-Tg-5_2.fastq.gz</t>
  </si>
  <si>
    <t>MASINLOC-Tg-2</t>
  </si>
  <si>
    <t>TG08</t>
  </si>
  <si>
    <t>MASINLOC-Tg-2_1.fastq.gz</t>
  </si>
  <si>
    <t>MASINLOC-Tg-2_2.fastq.gz</t>
  </si>
  <si>
    <t>Zambales, Masinloc, San Salvador Island, Libaba</t>
  </si>
  <si>
    <t>MASINLOC-Tg-3</t>
  </si>
  <si>
    <t>TG09</t>
  </si>
  <si>
    <t>MASINLOC-Tg-3_1.fastq.gz</t>
  </si>
  <si>
    <t>MASINLOC-Tg-3_2.fastq.gz</t>
  </si>
  <si>
    <t>MASINLOC-Tg-4</t>
  </si>
  <si>
    <t>TG10</t>
  </si>
  <si>
    <t>MASINLOC-Tg-4_1.fastq.gz</t>
  </si>
  <si>
    <t>MASINLOC-Tg-4_2.fastq.gz</t>
  </si>
  <si>
    <t>SEMIRARA-Tg-10</t>
  </si>
  <si>
    <t>TG11</t>
  </si>
  <si>
    <t>SEMIRARA-Tg-10_1.fastq.gz</t>
  </si>
  <si>
    <t>SEMIRARA-Tg-10_2.fastq.gz</t>
  </si>
  <si>
    <t>Antique - Semirara Island - west</t>
  </si>
  <si>
    <t>SEMIRARA-Tg-7</t>
  </si>
  <si>
    <t>TG12</t>
  </si>
  <si>
    <t>SEMIRARA-Tg-7_1.fastq.gz</t>
  </si>
  <si>
    <t>SEMIRARA-Tg-7_2.fastq.gz</t>
  </si>
  <si>
    <t>SEMIRARA-Tg-9</t>
  </si>
  <si>
    <t>TG13</t>
  </si>
  <si>
    <t>SEMIRARA-Tg-9_1.fastq.gz</t>
  </si>
  <si>
    <t>SEMIRARA-Tg-9_2.fastq.gz</t>
  </si>
  <si>
    <t>SILAQUI-Tg-1</t>
  </si>
  <si>
    <t>TG14</t>
  </si>
  <si>
    <t>SILAQUI-Tg-1_1.fastq.gz</t>
  </si>
  <si>
    <t>SILAQUI-Tg-1_2.fastq.gz</t>
  </si>
  <si>
    <t>Origin</t>
  </si>
  <si>
    <t>SILAQUI-Tg-4</t>
  </si>
  <si>
    <t>TG15</t>
  </si>
  <si>
    <t>SILAQUI-Tg-4_1.fastq.gz</t>
  </si>
  <si>
    <t>SILAQUI-Tg-4_2.fastq.gz</t>
  </si>
  <si>
    <t>SILAQUI-Tg-5</t>
  </si>
  <si>
    <t>TG16</t>
  </si>
  <si>
    <t>SILAQUI-Tg-5_1.fastq.gz</t>
  </si>
  <si>
    <t>SILAQUI-Tg-5_2.fastq.gz</t>
  </si>
  <si>
    <t>Tg-1998-1</t>
  </si>
  <si>
    <t>TG17</t>
  </si>
  <si>
    <t>Tg-1998-1_1.fastq.gz</t>
  </si>
  <si>
    <t>Tg-1998-1_2.fastq.gz</t>
  </si>
  <si>
    <t>Tg-1998-2</t>
  </si>
  <si>
    <t>TG18</t>
  </si>
  <si>
    <t>Tg-1998-2_1.fastq.gz</t>
  </si>
  <si>
    <t>Tg-1998-2_2.fastq.gz</t>
  </si>
  <si>
    <t>Tg-1998-5</t>
  </si>
  <si>
    <t>TG19</t>
  </si>
  <si>
    <t>Tg-1998-5_1.fastq.gz</t>
  </si>
  <si>
    <t>Tg-1998-5_2.fastq.gz</t>
  </si>
  <si>
    <t>Tg-1yr-1</t>
  </si>
  <si>
    <t>TG20</t>
  </si>
  <si>
    <t>Tg-1yr-1_1.fastq.gz</t>
  </si>
  <si>
    <t>Tg-1yr-1_2.fastq.gz</t>
  </si>
  <si>
    <t>Tg-1yr-2</t>
  </si>
  <si>
    <t>TG21</t>
  </si>
  <si>
    <t>Tg-1yr-2_1.fastq.gz</t>
  </si>
  <si>
    <t>Tg-1yr-2_2.fastq.gz</t>
  </si>
  <si>
    <t>Tg-1yr-3</t>
  </si>
  <si>
    <t>TG22</t>
  </si>
  <si>
    <t>Tg-1yr-3_1.fastq.gz</t>
  </si>
  <si>
    <t>Tg-1yr-3_2.fastq.gz</t>
  </si>
  <si>
    <t>Tg-2000-1</t>
  </si>
  <si>
    <t>TG23</t>
  </si>
  <si>
    <t>Tg-2000-1_1.fastq.gz</t>
  </si>
  <si>
    <t>Tg-2000-1_2.fastq.gz</t>
  </si>
  <si>
    <t>Tg-2000-2</t>
  </si>
  <si>
    <t>TG24</t>
  </si>
  <si>
    <t>Tg-2000-2_1.fastq.gz</t>
  </si>
  <si>
    <t>Tg-2000-2_2.fastq.gz</t>
  </si>
  <si>
    <t>Tg-2000-3</t>
  </si>
  <si>
    <t>TG25</t>
  </si>
  <si>
    <t>Tg-2000-3_1.fastq.gz</t>
  </si>
  <si>
    <t>Tg-2000-3_2.fastq.gz</t>
  </si>
  <si>
    <t>Tg-2002-3</t>
  </si>
  <si>
    <t>TG26</t>
  </si>
  <si>
    <t>Tg-2002-3_1.fastq.gz</t>
  </si>
  <si>
    <t>Tg-2002-3_2.fastq.gz</t>
  </si>
  <si>
    <t>Tg-2002-4</t>
  </si>
  <si>
    <t>TG27</t>
  </si>
  <si>
    <t>Tg-2002-4_1.fastq.gz</t>
  </si>
  <si>
    <t>Tg-2002-4_2.fastq.gz</t>
  </si>
  <si>
    <t>Tg-2002-5</t>
  </si>
  <si>
    <t>TG28</t>
  </si>
  <si>
    <t>Tg-2002-5_1.fastq.gz</t>
  </si>
  <si>
    <t>Tg-2002-5_2.fastq.gz</t>
  </si>
  <si>
    <t>Tg-2004-1</t>
  </si>
  <si>
    <t>TG29</t>
  </si>
  <si>
    <t>Tg-2004-1_1.fastq.gz</t>
  </si>
  <si>
    <t>Tg-2004-1_2.fastq.gz</t>
  </si>
  <si>
    <t>Tg-2004-2</t>
  </si>
  <si>
    <t>TG30</t>
  </si>
  <si>
    <t>Tg-2004-2_1.fastq.gz</t>
  </si>
  <si>
    <t>Tg-2004-2_2.fastq.gz</t>
  </si>
  <si>
    <t>Tg-2004-3</t>
  </si>
  <si>
    <t>TG31</t>
  </si>
  <si>
    <t>Tg-2004-3_1.fastq.gz</t>
  </si>
  <si>
    <t>Tg-2004-3_2.fastq.gz</t>
  </si>
  <si>
    <t>Tg-3yr-1</t>
  </si>
  <si>
    <t>TG32</t>
  </si>
  <si>
    <t>Tg-3yr-1_1.fastq.gz</t>
  </si>
  <si>
    <t>Tg-3yr-1_2.fastq.gz</t>
  </si>
  <si>
    <t>Tg-3yr-2</t>
  </si>
  <si>
    <t>TG33</t>
  </si>
  <si>
    <t>Tg-3yr-2_1.fastq.gz</t>
  </si>
  <si>
    <t>Tg-3yr-2_2.fastq.gz</t>
  </si>
  <si>
    <t>Tg-3yr-3</t>
  </si>
  <si>
    <t>TG34</t>
  </si>
  <si>
    <t>Tg-3yr-3_1.fastq.gz</t>
  </si>
  <si>
    <t>Tg-3yr-3_2.fastq.gz</t>
  </si>
  <si>
    <t>ALA-Tg-3</t>
  </si>
  <si>
    <t>TG35</t>
  </si>
  <si>
    <t>ALA-Tg-3_1.fastq.gz</t>
  </si>
  <si>
    <t>ALA-Tg-3_2.fastq.gz</t>
  </si>
  <si>
    <t>ALA-Tg-4</t>
  </si>
  <si>
    <t>TG36</t>
  </si>
  <si>
    <t>ALA-Tg-4_1.fastq.gz</t>
  </si>
  <si>
    <t>ALA-Tg-4_2.fastq.gz</t>
  </si>
  <si>
    <t>ALA-Tg-5</t>
  </si>
  <si>
    <t>TG37</t>
  </si>
  <si>
    <t>ALA-Tg-5_1.fastq.gz</t>
  </si>
  <si>
    <t>ALA-Tg-5_2.fastq.gz</t>
  </si>
  <si>
    <t>BAU-Tg-1</t>
  </si>
  <si>
    <t>TG38</t>
  </si>
  <si>
    <t>BAU-Tg-1_1.fastq.gz</t>
  </si>
  <si>
    <t>BAU-Tg-1_2.fastq.gz</t>
  </si>
  <si>
    <t>Bauan</t>
  </si>
  <si>
    <t>Dive and Trek</t>
  </si>
  <si>
    <t>BAU-Tg-2</t>
  </si>
  <si>
    <t>TG39</t>
  </si>
  <si>
    <t>BAU-Tg-2_1.fastq.gz</t>
  </si>
  <si>
    <t>BAU-Tg-2_2.fastq.gz</t>
  </si>
  <si>
    <t>BAU-Tg-3</t>
  </si>
  <si>
    <t>TG40</t>
  </si>
  <si>
    <t>BAU-Tg-3_1.fastq.gz</t>
  </si>
  <si>
    <t>BAU-Tg-3_2.fastq.gz</t>
  </si>
  <si>
    <t>MAB-Tg-1</t>
  </si>
  <si>
    <t>TG41</t>
  </si>
  <si>
    <t>MAB-Tg-1_1.fastq.gz</t>
  </si>
  <si>
    <t>MAB-Tg-1_2.fastq.gz</t>
  </si>
  <si>
    <t>MAB-Tg-3</t>
  </si>
  <si>
    <t>TG42</t>
  </si>
  <si>
    <t>MAB-Tg-3_1.fastq.gz</t>
  </si>
  <si>
    <t>MAB-Tg-3_2.fastq.gz</t>
  </si>
  <si>
    <t>MAB-Tg-4</t>
  </si>
  <si>
    <t>TG43</t>
  </si>
  <si>
    <t>MAB-Tg-4_1.fastq.gz</t>
  </si>
  <si>
    <t>MAB-Tg-4_2.fastq.gz</t>
  </si>
  <si>
    <t>MAS-Tg-1</t>
  </si>
  <si>
    <t>TG44</t>
  </si>
  <si>
    <t>MAS-Tg-1_1.fastq.gz</t>
  </si>
  <si>
    <t>MAS-Tg-1_2.fastq.gz</t>
  </si>
  <si>
    <t>Pew</t>
  </si>
  <si>
    <t>MAS-Tg-4</t>
  </si>
  <si>
    <t>TG45</t>
  </si>
  <si>
    <t>MAS-Tg-4_1.fastq.gz</t>
  </si>
  <si>
    <t>MAS-Tg-4_2.fastq.gz</t>
  </si>
  <si>
    <t>MAS-Tg-5</t>
  </si>
  <si>
    <t>TG46</t>
  </si>
  <si>
    <t>MAS-Tg-5_1.fastq.gz</t>
  </si>
  <si>
    <t>MAS-Tg-5_2.fastq.gz</t>
  </si>
  <si>
    <t>PAL-Tg-2</t>
  </si>
  <si>
    <t>TG47</t>
  </si>
  <si>
    <t>PAL-Tg-2_1.fastq.gz</t>
  </si>
  <si>
    <t>PAL-Tg-2_2.fastq.gz</t>
  </si>
  <si>
    <t>Puerto Princesa, Palawan</t>
  </si>
  <si>
    <t>PAL-Tg-3</t>
  </si>
  <si>
    <t>TG48</t>
  </si>
  <si>
    <t>PAL-Tg-3_1.fastq.gz</t>
  </si>
  <si>
    <t>PAL-Tg-3_2.fastq.gz</t>
  </si>
  <si>
    <t>PAL-Tg-4</t>
  </si>
  <si>
    <t>TG49</t>
  </si>
  <si>
    <t>PAL-Tg-4_1.fastq.gz</t>
  </si>
  <si>
    <t>PAL-Tg-4_2.fastq.gz</t>
  </si>
  <si>
    <t>SEM-Tg-10</t>
  </si>
  <si>
    <t>TG50</t>
  </si>
  <si>
    <t>SEM-Tg-10_1.fastq.gz</t>
  </si>
  <si>
    <t>SEM-Tg-10_2.fastq.gz</t>
  </si>
  <si>
    <t>most recent restock; largest cohort</t>
  </si>
  <si>
    <t>SEM-Tg-7</t>
  </si>
  <si>
    <t>TG51</t>
  </si>
  <si>
    <t>SEM-Tg-7_1.fastq.gz</t>
  </si>
  <si>
    <t>SEM-Tg-7_2.fastq.gz</t>
  </si>
  <si>
    <t>SEM-Tg-9</t>
  </si>
  <si>
    <t>TG52</t>
  </si>
  <si>
    <t>SEM-Tg-9_1.fastq.gz</t>
  </si>
  <si>
    <t>SEM-Tg-9_2.fastq.gz</t>
  </si>
  <si>
    <t>SIL-Tg-2</t>
  </si>
  <si>
    <t>TG53</t>
  </si>
  <si>
    <t>SIL-Tg-2_1.fastq.gz</t>
  </si>
  <si>
    <t>SIL-Tg-2_2.fastq.gz</t>
  </si>
  <si>
    <t>SIL-Tg-3</t>
  </si>
  <si>
    <t>TG54</t>
  </si>
  <si>
    <t>SIL-Tg-3_1.fastq.gz</t>
  </si>
  <si>
    <t>SIL-Tg-3_2.fastq.gz</t>
  </si>
  <si>
    <t>SIL-Tg-5</t>
  </si>
  <si>
    <t>TG55</t>
  </si>
  <si>
    <t>SIL-Tg-5_1.fastq.gz</t>
  </si>
  <si>
    <t>SIL-Tg-5_2.fastq.gz</t>
  </si>
  <si>
    <t>Bohol_Tg_1</t>
  </si>
  <si>
    <t>TG56</t>
  </si>
  <si>
    <t>Bohol_Tg_1_1.fastq.gz</t>
  </si>
  <si>
    <t>Bohol_Tg_1_2.fastq.gz</t>
  </si>
  <si>
    <t>Bohol Province</t>
  </si>
  <si>
    <t>Bohol_Tg_2</t>
  </si>
  <si>
    <t>TG57</t>
  </si>
  <si>
    <t>Bohol_Tg_2_1.fastq.gz</t>
  </si>
  <si>
    <t>Bohol_Tg_2_2.fastq.gz</t>
  </si>
  <si>
    <t>Bohol_Tg_3</t>
  </si>
  <si>
    <t>TG58</t>
  </si>
  <si>
    <t>Bohol_Tg_3_1.fastq.gz</t>
  </si>
  <si>
    <t>Bohol_Tg_3_2.fastq.gz</t>
  </si>
  <si>
    <t>Camiguin_Tg_1</t>
  </si>
  <si>
    <t>TG59</t>
  </si>
  <si>
    <t>Camiguin_Tg_1_1.fastq.gz</t>
  </si>
  <si>
    <t>Camiguin_Tg_1_2.fastq.gz</t>
  </si>
  <si>
    <t>Camiguin_Tg_2</t>
  </si>
  <si>
    <t>TG60</t>
  </si>
  <si>
    <t>Camiguin_Tg_2_1.fastq.gz</t>
  </si>
  <si>
    <t>Camiguin_Tg_2_2.fastq.gz</t>
  </si>
  <si>
    <t>Camiguin_Tg_3</t>
  </si>
  <si>
    <t>TG61</t>
  </si>
  <si>
    <t>Camiguin_Tg_3_1.fastq.gz</t>
  </si>
  <si>
    <t>Camiguin_Tg_3_2.fastq.gz</t>
  </si>
  <si>
    <t>Camiguin_Tg_r_2</t>
  </si>
  <si>
    <t>TG62</t>
  </si>
  <si>
    <t>Camiguin_Tg_r_2_1.fastq.gz</t>
  </si>
  <si>
    <t>Camiguin_Tg_r_2_2.fastq.gz</t>
  </si>
  <si>
    <t>2017 approx</t>
  </si>
  <si>
    <t>Camiguin_Tg_r_4</t>
  </si>
  <si>
    <t>TG63</t>
  </si>
  <si>
    <t>Camiguin_Tg_r_4_1.fastq.gz</t>
  </si>
  <si>
    <t>Camiguin_Tg_r_4_2.fastq.gz</t>
  </si>
  <si>
    <t>Camiguin_Tg_r_5</t>
  </si>
  <si>
    <t>TG64</t>
  </si>
  <si>
    <t>Camiguin_Tg_r_5_1.fastq.gz</t>
  </si>
  <si>
    <t>Camiguin_Tg_r_5_2.fastq.gz</t>
  </si>
  <si>
    <t>Samar_Tg_1</t>
  </si>
  <si>
    <t>TG65</t>
  </si>
  <si>
    <t>Samar_Tg_1_1.fastq.gz</t>
  </si>
  <si>
    <t>Samar_Tg_1_2.fastq.gz</t>
  </si>
  <si>
    <t>Guiuan via UPV Tacloban</t>
  </si>
  <si>
    <t>Samar_Tg_2</t>
  </si>
  <si>
    <t>TG66</t>
  </si>
  <si>
    <t>Samar_Tg_2_1.fastq.gz</t>
  </si>
  <si>
    <t>Samar_Tg_2_2.fastq.gz</t>
  </si>
  <si>
    <t>Samar_Tg_3</t>
  </si>
  <si>
    <t>TG67</t>
  </si>
  <si>
    <t>Samar_Tg_3_1.fastq.gz</t>
  </si>
  <si>
    <t>Samar_Tg_3_2.fastq.gz</t>
  </si>
  <si>
    <t>APO-A-Tm-5</t>
  </si>
  <si>
    <t>TM01</t>
  </si>
  <si>
    <t>APO-A-Tm-5_1.fastq.gz</t>
  </si>
  <si>
    <t>APO-A-Tm-5_2.fastq.gz</t>
  </si>
  <si>
    <t>Tm</t>
  </si>
  <si>
    <t>APO-SA-Tc-4</t>
  </si>
  <si>
    <t>TM02</t>
  </si>
  <si>
    <t>APO-SA-Tc-4_1.fastq.gz</t>
  </si>
  <si>
    <t>APO-SA-Tc-4_2.fastq.gz</t>
  </si>
  <si>
    <t>APO-SA-Tm-1</t>
  </si>
  <si>
    <t>TM03</t>
  </si>
  <si>
    <t>APO-SA-Tm-1_1.fastq.gz</t>
  </si>
  <si>
    <t>APO-SA-Tm-1_2.fastq.gz</t>
  </si>
  <si>
    <t>APO-SA-Tm-4</t>
  </si>
  <si>
    <t>TM04</t>
  </si>
  <si>
    <t>APO-SA-Tm-4_1.fastq.gz</t>
  </si>
  <si>
    <t>APO-SA-Tm-4_2.fastq.gz</t>
  </si>
  <si>
    <t>APO-SA-Tm-5</t>
  </si>
  <si>
    <t>TM05</t>
  </si>
  <si>
    <t>APO-SA-Tm-5_1.fastq.gz</t>
  </si>
  <si>
    <t>APO-SA-Tm-5_2.fastq.gz</t>
  </si>
  <si>
    <t>BAU-Tm-1</t>
  </si>
  <si>
    <t>TM06</t>
  </si>
  <si>
    <t>BAU-Tm-1_1.fastq.gz</t>
  </si>
  <si>
    <t>BAU-Tm-1_2.fastq.gz</t>
  </si>
  <si>
    <t>BAU-Tm-3</t>
  </si>
  <si>
    <t>TM07</t>
  </si>
  <si>
    <t>BAU-Tm-3_1.fastq.gz</t>
  </si>
  <si>
    <t>BAU-Tm-3_2.fastq.gz</t>
  </si>
  <si>
    <t>BAU-Ts-2</t>
  </si>
  <si>
    <t>TM08</t>
  </si>
  <si>
    <t>BAU-Ts-2_1.fastq.gz</t>
  </si>
  <si>
    <t>BAU-Ts-2_2.fastq.gz</t>
  </si>
  <si>
    <t>BAU-Ts-5</t>
  </si>
  <si>
    <t>TM09</t>
  </si>
  <si>
    <t>BAU-Ts-5_1.fastq.gz</t>
  </si>
  <si>
    <t>BAU-Ts-5_2.fastq.gz</t>
  </si>
  <si>
    <t>CAL-M-Tm-2</t>
  </si>
  <si>
    <t>TM10</t>
  </si>
  <si>
    <t>CAL-M-Tm-2_1.fastq.gz</t>
  </si>
  <si>
    <t>CAL-M-Tm-2_2.fastq.gz</t>
  </si>
  <si>
    <t>Mangkawayan</t>
  </si>
  <si>
    <t>Calaguas</t>
  </si>
  <si>
    <t>CAL-M-Tm-3</t>
  </si>
  <si>
    <t>TM11</t>
  </si>
  <si>
    <t>CAL-M-Tm-3_1.fastq.gz</t>
  </si>
  <si>
    <t>CAL-M-Tm-3_2.fastq.gz</t>
  </si>
  <si>
    <t>CAL-M-Tm-4</t>
  </si>
  <si>
    <t>TM12</t>
  </si>
  <si>
    <t>CAL-M-Tm-4_1.fastq.gz</t>
  </si>
  <si>
    <t>CAL-M-Tm-4_2.fastq.gz</t>
  </si>
  <si>
    <t>CAL-P-Tm-1</t>
  </si>
  <si>
    <t>TM13</t>
  </si>
  <si>
    <t>CAL-P-Tm-1_1.fastq.gz</t>
  </si>
  <si>
    <t>CAL-P-Tm-1_2.fastq.gz</t>
  </si>
  <si>
    <t>Pinagtigasan</t>
  </si>
  <si>
    <t>CAL-P-Tm-2</t>
  </si>
  <si>
    <t>TM14</t>
  </si>
  <si>
    <t>CAL-P-Tm-2_1.fastq.gz</t>
  </si>
  <si>
    <t>CAL-P-Tm-2_2.fastq.gz</t>
  </si>
  <si>
    <t>CAL-P-Tm-4</t>
  </si>
  <si>
    <t>TM15</t>
  </si>
  <si>
    <t>CAL-P-Tm-4_1.fastq.gz</t>
  </si>
  <si>
    <t>CAL-P-Tm-4_2.fastq.gz</t>
  </si>
  <si>
    <t>APO-A-Tm-3</t>
  </si>
  <si>
    <t>TM16</t>
  </si>
  <si>
    <t>APO-A-Tm-3_1.fastq.gz</t>
  </si>
  <si>
    <t>APO-A-Tm-3_2.fastq.gz</t>
  </si>
  <si>
    <t>Bohol_Tm_1</t>
  </si>
  <si>
    <t>TM17</t>
  </si>
  <si>
    <t>Bohol_Tm_1_1.fastq.gz</t>
  </si>
  <si>
    <t>Bohol_Tm_1_2.fastq.gz</t>
  </si>
  <si>
    <t>Bohol_Tm_2</t>
  </si>
  <si>
    <t>TM18</t>
  </si>
  <si>
    <t>Bohol_Tm_2_1.fastq.gz</t>
  </si>
  <si>
    <t>Bohol_Tm_2_2.fastq.gz</t>
  </si>
  <si>
    <t>Bohol_Tm_3</t>
  </si>
  <si>
    <t>TM19</t>
  </si>
  <si>
    <t>Bohol_Tm_3_1.fastq.gz</t>
  </si>
  <si>
    <t>Bohol_Tm_3_2.fastq.gz</t>
  </si>
  <si>
    <t>Camiguin_Tm_1</t>
  </si>
  <si>
    <t>TM20</t>
  </si>
  <si>
    <t>Camiguin_Tm_1_1.fastq.gz</t>
  </si>
  <si>
    <t>Camiguin_Tm_1_2.fastq.gz</t>
  </si>
  <si>
    <t>Camiguin_Tm_2</t>
  </si>
  <si>
    <t>TM21</t>
  </si>
  <si>
    <t>Camiguin_Tm_2_1.fastq.gz</t>
  </si>
  <si>
    <t>Camiguin_Tm_2_2.fastq.gz</t>
  </si>
  <si>
    <t>Camiguin_Tm_4</t>
  </si>
  <si>
    <t>TM22</t>
  </si>
  <si>
    <t>Camiguin_Tm_4_1.fastq.gz</t>
  </si>
  <si>
    <t>Camiguin_Tm_4_2.fastq.gz</t>
  </si>
  <si>
    <t>Samar_Tm_1</t>
  </si>
  <si>
    <t>TM23</t>
  </si>
  <si>
    <t>Samar_Tm_1_1.fastq.gz</t>
  </si>
  <si>
    <t>Samar_Tm_1_2.fastq.gz</t>
  </si>
  <si>
    <t>Samar_Tm_3</t>
  </si>
  <si>
    <t>TM24</t>
  </si>
  <si>
    <t>Samar_Tm_3_1.fastq.gz</t>
  </si>
  <si>
    <t>Samar_Tm_3_2.fastq.gz</t>
  </si>
  <si>
    <t>Samar_Tm_4</t>
  </si>
  <si>
    <t>TM25</t>
  </si>
  <si>
    <t>Samar_Tm_4_1.fastq.gz</t>
  </si>
  <si>
    <t>Samar_Tm_4_2.fastq.gz</t>
  </si>
  <si>
    <t>SEM_Tm_7</t>
  </si>
  <si>
    <t>TM26</t>
  </si>
  <si>
    <t>SEM_Tm_7_1.fastq.gz</t>
  </si>
  <si>
    <t>SEM_Tm_7_2.fastq.gz</t>
  </si>
  <si>
    <t>SEM_Tm_8</t>
  </si>
  <si>
    <t>TM27</t>
  </si>
  <si>
    <t>SEM_Tm_8_1.fastq.gz</t>
  </si>
  <si>
    <t>SEM_Tm_8_2.fastq.gz</t>
  </si>
  <si>
    <t>SEM_Tm_9</t>
  </si>
  <si>
    <t>TM28</t>
  </si>
  <si>
    <t>SEM_Tm_9_1.fastq.gz</t>
  </si>
  <si>
    <t>SEM_Tm_9_2.fastq.gz</t>
  </si>
  <si>
    <t>SEMIRARA-Tm-4</t>
  </si>
  <si>
    <t>TN01</t>
  </si>
  <si>
    <t>SEMIRARA-Tm-4_1.fastq.gz</t>
  </si>
  <si>
    <t>SEMIRARA-Tm-4_2.fastq.gz</t>
  </si>
  <si>
    <t>Tn</t>
  </si>
  <si>
    <t>SEMIRARA-Tn-1</t>
  </si>
  <si>
    <t>TN02</t>
  </si>
  <si>
    <t>SEMIRARA-Tn-1_1.fastq.gz</t>
  </si>
  <si>
    <t>SEMIRARA-Tn-1_2.fastq.gz</t>
  </si>
  <si>
    <t>SEMIRARA-Tn-3</t>
  </si>
  <si>
    <t>TN03</t>
  </si>
  <si>
    <t>SEMIRARA-Tn-3_1.fastq.gz</t>
  </si>
  <si>
    <t>SEMIRARA-Tn-3_2.fastq.gz</t>
  </si>
  <si>
    <t>SEMIRARA-Tn-4</t>
  </si>
  <si>
    <t>TN04</t>
  </si>
  <si>
    <t>SEMIRARA-Tn-4_1.fastq.gz</t>
  </si>
  <si>
    <t>SEMIRARA-Tn-4_2.fastq.gz</t>
  </si>
  <si>
    <t>BAU-Tn-1</t>
  </si>
  <si>
    <t>TN05</t>
  </si>
  <si>
    <t>BAU-Tn-1_1.fastq.gz</t>
  </si>
  <si>
    <t>BAU-Tn-1_2.fastq.gz</t>
  </si>
  <si>
    <t>BAU-Tn-2</t>
  </si>
  <si>
    <t>TN06</t>
  </si>
  <si>
    <t>BAU-Tn-2_1.fastq.gz</t>
  </si>
  <si>
    <t>BAU-Tn-2_2.fastq.gz</t>
  </si>
  <si>
    <t>CAL-C-Tn-1</t>
  </si>
  <si>
    <t>TN07</t>
  </si>
  <si>
    <t>CAL-C-Tn-1_1.fastq.gz</t>
  </si>
  <si>
    <t>CAL-C-Tn-1_2.fastq.gz</t>
  </si>
  <si>
    <t>Cagbalisay</t>
  </si>
  <si>
    <t>CAL-C-Tn-2</t>
  </si>
  <si>
    <t>TN08</t>
  </si>
  <si>
    <t>CAL-C-Tn-2_1.fastq.gz</t>
  </si>
  <si>
    <t>CAL-C-Tn-2_2.fastq.gz</t>
  </si>
  <si>
    <t>CAL-C-Tn-3</t>
  </si>
  <si>
    <t>TN09</t>
  </si>
  <si>
    <t>CAL-C-Tn-3_1.fastq.gz</t>
  </si>
  <si>
    <t>CAL-C-Tn-3_2.fastq.gz</t>
  </si>
  <si>
    <t>CAL-M-Tn-1</t>
  </si>
  <si>
    <t>TN10</t>
  </si>
  <si>
    <t>CAL-M-Tn-1_1.fastq.gz</t>
  </si>
  <si>
    <t>CAL-M-Tn-1_2.fastq.gz</t>
  </si>
  <si>
    <t>CAL-M-Tn-2</t>
  </si>
  <si>
    <t>TN11</t>
  </si>
  <si>
    <t>CAL-M-Tn-2_1.fastq.gz</t>
  </si>
  <si>
    <t>CAL-M-Tn-2_2.fastq.gz</t>
  </si>
  <si>
    <t>CAL-M-Tn-3</t>
  </si>
  <si>
    <t>TN12</t>
  </si>
  <si>
    <t>CAL-M-Tn-3_1.fastq.gz</t>
  </si>
  <si>
    <t>CAL-M-Tn-3_2.fastq.gz</t>
  </si>
  <si>
    <t>CAL-Q-Tn-1</t>
  </si>
  <si>
    <t>TN13</t>
  </si>
  <si>
    <t>CAL-Q-Tn-1_1.fastq.gz</t>
  </si>
  <si>
    <t>CAL-Q-Tn-1_2.fastq.gz</t>
  </si>
  <si>
    <t>Quinamanucan</t>
  </si>
  <si>
    <t>CAL-Q-Tn-2</t>
  </si>
  <si>
    <t>TN14</t>
  </si>
  <si>
    <t>CAL-Q-Tn-2_1.fastq.gz</t>
  </si>
  <si>
    <t>CAL-Q-Tn-2_2.fastq.gz</t>
  </si>
  <si>
    <t>CAL-S-Tn-1</t>
  </si>
  <si>
    <t>TN15</t>
  </si>
  <si>
    <t>CAL-S-Tn-1_1.fastq.gz</t>
  </si>
  <si>
    <t>CAL-S-Tn-1_2.fastq.gz</t>
  </si>
  <si>
    <t>Siapa</t>
  </si>
  <si>
    <t>CAL-S-Tn-4</t>
  </si>
  <si>
    <t>TN16</t>
  </si>
  <si>
    <t>CAL-S-Tn-4_1.fastq.gz</t>
  </si>
  <si>
    <t>CAL-S-Tn-4_2.fastq.gz</t>
  </si>
  <si>
    <t>CAL-S-Tn-5</t>
  </si>
  <si>
    <t>TN17</t>
  </si>
  <si>
    <t>CAL-S-Tn-5_1.fastq.gz</t>
  </si>
  <si>
    <t>CAL-S-Tn-5_2.fastq.gz</t>
  </si>
  <si>
    <t>SEMIRARA-Ts-12</t>
  </si>
  <si>
    <t>TS01</t>
  </si>
  <si>
    <t>SEMIRARA-Ts-12_1.fastq.gz</t>
  </si>
  <si>
    <t>SEMIRARA-Ts-12_2.fastq.gz</t>
  </si>
  <si>
    <t>Ts</t>
  </si>
  <si>
    <t>SEMIRARA-Ts-14</t>
  </si>
  <si>
    <t>TS02</t>
  </si>
  <si>
    <t>SEMIRARA-Ts-14_1.fastq.gz</t>
  </si>
  <si>
    <t>SEMIRARA-Ts-14_2.fastq.gz</t>
  </si>
  <si>
    <t>SEMIRARA-Ts-15</t>
  </si>
  <si>
    <t>TS03</t>
  </si>
  <si>
    <t>SEMIRARA-Ts-15_1.fastq.gz</t>
  </si>
  <si>
    <t>SEMIRARA-Ts-15_2.fastq.gz</t>
  </si>
  <si>
    <t>SILAQUI-Ts-1</t>
  </si>
  <si>
    <t>TS04</t>
  </si>
  <si>
    <t>SILAQUI-Ts-1_1.fastq.gz</t>
  </si>
  <si>
    <t>SILAQUI-Ts-1_2.fastq.gz</t>
  </si>
  <si>
    <t>SILAQUI-Ts-2</t>
  </si>
  <si>
    <t>TS05</t>
  </si>
  <si>
    <t>SILAQUI-Ts-2_1.fastq.gz</t>
  </si>
  <si>
    <t>SILAQUI-Ts-2_2.fastq.gz</t>
  </si>
  <si>
    <t>SILAQUI-Ts-3</t>
  </si>
  <si>
    <t>TS06</t>
  </si>
  <si>
    <t>SILAQUI-Ts-3_1.fastq.gz</t>
  </si>
  <si>
    <t>SILAQUI-Ts-3_2.fastq.gz</t>
  </si>
  <si>
    <t>BAU-Tm-2</t>
  </si>
  <si>
    <t>TS07</t>
  </si>
  <si>
    <t>BAU-Tm-2_1.fastq.gz</t>
  </si>
  <si>
    <t>BAU-Tm-2_2.fastq.gz</t>
  </si>
  <si>
    <t>BAU-Ts-1</t>
  </si>
  <si>
    <t>TS08</t>
  </si>
  <si>
    <t>BAU-Ts-1_1.fastq.gz</t>
  </si>
  <si>
    <t>BAU-Ts-1_2.fastq.gz</t>
  </si>
  <si>
    <t>CAL-M-Ts-3</t>
  </si>
  <si>
    <t>TS09</t>
  </si>
  <si>
    <t>CAL-M-Ts-3_1.fastq.gz</t>
  </si>
  <si>
    <t>CAL-M-Ts-3_2.fastq.gz</t>
  </si>
  <si>
    <t>CAL-M-Ts-4</t>
  </si>
  <si>
    <t>TS10</t>
  </si>
  <si>
    <t>CAL-M-Ts-4_1.fastq.gz</t>
  </si>
  <si>
    <t>CAL-M-Ts-4_2.fastq.gz</t>
  </si>
  <si>
    <t>CAL-M-Ts-5</t>
  </si>
  <si>
    <t>TS11</t>
  </si>
  <si>
    <t>CAL-M-Ts-5_1.fastq.gz</t>
  </si>
  <si>
    <t>CAL-M-Ts-5_2.fastq.gz</t>
  </si>
  <si>
    <t>CAL-P-Ts-1</t>
  </si>
  <si>
    <t>TS12</t>
  </si>
  <si>
    <t>CAL-P-Ts-1_1.fastq.gz</t>
  </si>
  <si>
    <t>CAL-P-Ts-1_2.fastq.gz</t>
  </si>
  <si>
    <t>CAL-P-Ts-2</t>
  </si>
  <si>
    <t>TS13</t>
  </si>
  <si>
    <t>CAL-P-Ts-2_1.fastq.gz</t>
  </si>
  <si>
    <t>CAL-P-Ts-2_2.fastq.gz</t>
  </si>
  <si>
    <t>CAL-P-Ts-3</t>
  </si>
  <si>
    <t>TS14</t>
  </si>
  <si>
    <t>CAL-P-Ts-3_1.fastq.gz</t>
  </si>
  <si>
    <t>CAL-P-Ts-3_2.fastq.gz</t>
  </si>
  <si>
    <t>MAS-Ts-1</t>
  </si>
  <si>
    <t>TS15</t>
  </si>
  <si>
    <t>MAS-Ts-1_1.fastq.gz</t>
  </si>
  <si>
    <t>MAS-Ts-1_2.fastq.gz</t>
  </si>
  <si>
    <t>MAS-Ts-3</t>
  </si>
  <si>
    <t>TS16</t>
  </si>
  <si>
    <t>MAS-Ts-3_1.fastq.gz</t>
  </si>
  <si>
    <t>MAS-Ts-3_2.fastq.gz</t>
  </si>
  <si>
    <t>MAS-Ts-4</t>
  </si>
  <si>
    <t>TS17</t>
  </si>
  <si>
    <t>MAS-Ts-4_1.fastq.gz</t>
  </si>
  <si>
    <t>MAS-Ts-4_2.fastq.gz</t>
  </si>
  <si>
    <t>PAL-Ts-1</t>
  </si>
  <si>
    <t>TS18</t>
  </si>
  <si>
    <t>PAL-Ts-1_1.fastq.gz</t>
  </si>
  <si>
    <t>PAL-Ts-1_2.fastq.gz</t>
  </si>
  <si>
    <t>PAL-Ts-2</t>
  </si>
  <si>
    <t>TS19</t>
  </si>
  <si>
    <t>PAL-Ts-2_1.fastq.gz</t>
  </si>
  <si>
    <t>PAL-Ts-2_2.fastq.gz</t>
  </si>
  <si>
    <t>PAL-Ts-3</t>
  </si>
  <si>
    <t>TS20</t>
  </si>
  <si>
    <t>PAL-Ts-3_1.fastq.gz</t>
  </si>
  <si>
    <t>PAL-Ts-3_2.fastq.gz</t>
  </si>
  <si>
    <t>Bohol_Ts_1</t>
  </si>
  <si>
    <t>TS21</t>
  </si>
  <si>
    <t>Bohol_Ts_1_1.fastq.gz</t>
  </si>
  <si>
    <t>Bohol_Ts_1_2.fastq.gz</t>
  </si>
  <si>
    <t>Bohol_Ts_2</t>
  </si>
  <si>
    <t>TS22</t>
  </si>
  <si>
    <t>Bohol_Ts_2_1.fastq.gz</t>
  </si>
  <si>
    <t>Bohol_Ts_2_2.fastq.gz</t>
  </si>
  <si>
    <t>Bohol_Ts_3</t>
  </si>
  <si>
    <t>TS23</t>
  </si>
  <si>
    <t>Bohol_Ts_3_1.fastq.gz</t>
  </si>
  <si>
    <t>Bohol_Ts_3_2.fastq.gz</t>
  </si>
  <si>
    <t>Camiguin_Ts_1</t>
  </si>
  <si>
    <t>TS24</t>
  </si>
  <si>
    <t>Camiguin_Ts_1_1.fastq.gz</t>
  </si>
  <si>
    <t>Camiguin_Ts_1_2.fastq.gz</t>
  </si>
  <si>
    <t>Camiguin_Ts_3</t>
  </si>
  <si>
    <t>TS25</t>
  </si>
  <si>
    <t>Camiguin_Ts_3_1.fastq.gz</t>
  </si>
  <si>
    <t>Camiguin_Ts_3_2.fastq.gz</t>
  </si>
  <si>
    <t>Camiguin_Ts_4</t>
  </si>
  <si>
    <t>TS26</t>
  </si>
  <si>
    <t>Camiguin_Ts_4_1.fastq.gz</t>
  </si>
  <si>
    <t>Camiguin_Ts_4_2.fastq.gz</t>
  </si>
  <si>
    <t>Samar_Ts_2</t>
  </si>
  <si>
    <t>TS27</t>
  </si>
  <si>
    <t>Samar_Ts_2_1.fastq.gz</t>
  </si>
  <si>
    <t>Samar_Ts_2_2.fastq.gz</t>
  </si>
  <si>
    <t>Samar_Ts_3</t>
  </si>
  <si>
    <t>TS28</t>
  </si>
  <si>
    <t>Samar_Ts_3_1.fastq.gz</t>
  </si>
  <si>
    <t>Samar_Ts_3_2.fastq.gz</t>
  </si>
  <si>
    <t>Samar_Ts_5</t>
  </si>
  <si>
    <t>TS29</t>
  </si>
  <si>
    <t>Samar_Ts_5_1.fastq.gz</t>
  </si>
  <si>
    <t>Samar_Ts_5_2.fastq.gz</t>
  </si>
  <si>
    <t>SIL_Ts_1</t>
  </si>
  <si>
    <t>TS30</t>
  </si>
  <si>
    <t>SIL_Ts_1_1.fastq.gz</t>
  </si>
  <si>
    <t>SIL_Ts_1_2.fastq.gz</t>
  </si>
  <si>
    <t>SIL_Ts_2</t>
  </si>
  <si>
    <t>TS31</t>
  </si>
  <si>
    <t>SIL_Ts_2_1.fastq.gz</t>
  </si>
  <si>
    <t>SIL_Ts_2_2.fastq.gz</t>
  </si>
  <si>
    <t>SIL_Ts_3</t>
  </si>
  <si>
    <t>TS32</t>
  </si>
  <si>
    <t>SIL_Ts_3_1.fastq.gz</t>
  </si>
  <si>
    <t>SIL_Ts_3_2.fastq.gz</t>
  </si>
  <si>
    <t>WithCOI</t>
  </si>
  <si>
    <t>Yes</t>
  </si>
  <si>
    <t>WithITS2</t>
  </si>
  <si>
    <t>SampleID</t>
  </si>
  <si>
    <t>Comments</t>
  </si>
  <si>
    <t>With COI</t>
  </si>
  <si>
    <t>No COI</t>
  </si>
  <si>
    <t>DoubleCheck</t>
  </si>
  <si>
    <t>SpeciesNameCOIValidatedBefore20250725</t>
  </si>
  <si>
    <t>StandardizedSampleNameBefore20250725</t>
  </si>
  <si>
    <t>No COI, but morph confirms TG</t>
  </si>
  <si>
    <t>None</t>
  </si>
  <si>
    <t>COISequence</t>
  </si>
  <si>
    <t>Confirmed HH</t>
  </si>
  <si>
    <t>Confirmed TC</t>
  </si>
  <si>
    <t>Confirmed HP</t>
  </si>
  <si>
    <t>COIValidated20250725</t>
  </si>
  <si>
    <t>StandardID20250725</t>
  </si>
  <si>
    <t>Confirmed TM</t>
  </si>
  <si>
    <t>Confirmed TS</t>
  </si>
  <si>
    <t>HH20</t>
  </si>
  <si>
    <t>TC30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</si>
</sst>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60112-811C-4A23-91B9-13684506D500}">
  <dimension ref="A1:Z216"/>
  <sheetViews>
    <sheetView tabSelected="1" workbookViewId="0">
      <pane ySplit="1" topLeftCell="A65" activePane="bottomLeft" state="frozen"/>
      <selection pane="bottomLeft" activeCell="G77" sqref="G77"/>
    </sheetView>
  </sheetViews>
  <sheetFormatPr defaultRowHeight="12.5" x14ac:dyDescent="0.25"/>
  <cols>
    <col min="1" max="1" width="15.6328125" bestFit="1" customWidth="1"/>
    <col min="2" max="3" width="8.1796875" bestFit="1" customWidth="1"/>
    <col min="4" max="4" width="11.36328125" bestFit="1" customWidth="1"/>
    <col min="5" max="5" width="26.6328125" bestFit="1" customWidth="1"/>
    <col min="6" max="6" width="12.1796875" bestFit="1" customWidth="1"/>
    <col min="7" max="7" width="36.453125" bestFit="1" customWidth="1"/>
    <col min="8" max="8" width="19.7265625" bestFit="1" customWidth="1"/>
    <col min="9" max="9" width="35.81640625" bestFit="1" customWidth="1"/>
    <col min="10" max="10" width="18.08984375" bestFit="1" customWidth="1"/>
    <col min="11" max="11" width="14.6328125" bestFit="1" customWidth="1"/>
    <col min="12" max="12" width="13.08984375" bestFit="1" customWidth="1"/>
    <col min="13" max="14" width="24.7265625" bestFit="1" customWidth="1"/>
    <col min="15" max="15" width="12.54296875" bestFit="1" customWidth="1"/>
    <col min="16" max="16" width="8.6328125" bestFit="1" customWidth="1"/>
    <col min="17" max="18" width="11.81640625" bestFit="1" customWidth="1"/>
    <col min="19" max="19" width="20.1796875" bestFit="1" customWidth="1"/>
    <col min="20" max="20" width="4" bestFit="1" customWidth="1"/>
    <col min="21" max="21" width="10.81640625" bestFit="1" customWidth="1"/>
    <col min="22" max="22" width="17.08984375" bestFit="1" customWidth="1"/>
    <col min="23" max="23" width="16.26953125" bestFit="1" customWidth="1"/>
    <col min="24" max="24" width="27.6328125" bestFit="1" customWidth="1"/>
    <col min="25" max="25" width="40.81640625" bestFit="1" customWidth="1"/>
    <col min="26" max="26" width="29.26953125" bestFit="1" customWidth="1"/>
  </cols>
  <sheetData>
    <row r="1" spans="1:26" x14ac:dyDescent="0.25">
      <c r="A1" t="s">
        <v>0</v>
      </c>
      <c r="B1" s="1" t="s">
        <v>930</v>
      </c>
      <c r="C1" s="1" t="s">
        <v>932</v>
      </c>
      <c r="D1" s="1" t="s">
        <v>937</v>
      </c>
      <c r="E1" s="1" t="s">
        <v>934</v>
      </c>
      <c r="F1" s="1" t="s">
        <v>942</v>
      </c>
      <c r="G1" t="s">
        <v>938</v>
      </c>
      <c r="H1" s="1" t="s">
        <v>946</v>
      </c>
      <c r="I1" t="s">
        <v>939</v>
      </c>
      <c r="J1" s="1" t="s">
        <v>947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  <c r="T1" t="s">
        <v>10</v>
      </c>
      <c r="U1" t="s">
        <v>11</v>
      </c>
      <c r="V1" t="s">
        <v>12</v>
      </c>
      <c r="W1" t="s">
        <v>13</v>
      </c>
      <c r="X1" t="s">
        <v>14</v>
      </c>
      <c r="Y1" t="s">
        <v>15</v>
      </c>
      <c r="Z1" t="s">
        <v>16</v>
      </c>
    </row>
    <row r="2" spans="1:26" x14ac:dyDescent="0.25">
      <c r="A2" t="s">
        <v>17</v>
      </c>
      <c r="B2" t="str">
        <f>_xlfn.IFNA(VLOOKUP(I2,WithCOI!A:B,2,FALSE),"No COI")</f>
        <v>With COI</v>
      </c>
      <c r="C2" t="str">
        <f>IF(_xlfn.IFNA(VLOOKUP(I2,WithITS2!A:A,1,FALSE),"None") = "None", "None","Yes")</f>
        <v>Yes</v>
      </c>
      <c r="D2" t="str">
        <f>IF(AND(B2="No COI",C2="Yes"),"Double check","OK")</f>
        <v>OK</v>
      </c>
      <c r="G2" t="s">
        <v>23</v>
      </c>
      <c r="H2" t="str">
        <f>G2</f>
        <v>Hh</v>
      </c>
      <c r="I2" t="s">
        <v>18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24</v>
      </c>
      <c r="P2" t="s">
        <v>25</v>
      </c>
      <c r="Q2">
        <v>12.08708129</v>
      </c>
      <c r="R2">
        <v>121.3460231</v>
      </c>
    </row>
    <row r="3" spans="1:26" x14ac:dyDescent="0.25">
      <c r="A3" t="s">
        <v>26</v>
      </c>
      <c r="B3" t="str">
        <f>_xlfn.IFNA(VLOOKUP(I3,WithCOI!A:B,2,FALSE),"No COI")</f>
        <v>With COI</v>
      </c>
      <c r="C3" t="str">
        <f>IF(_xlfn.IFNA(VLOOKUP(I3,WithITS2!A:A,1,FALSE),"None") = "None", "None","Yes")</f>
        <v>Yes</v>
      </c>
      <c r="D3" t="str">
        <f>IF(AND(B3="No COI",C3="Yes"),"Double check","OK")</f>
        <v>OK</v>
      </c>
      <c r="G3" t="s">
        <v>23</v>
      </c>
      <c r="H3" t="str">
        <f>G3</f>
        <v>Hh</v>
      </c>
      <c r="I3" t="s">
        <v>27</v>
      </c>
      <c r="J3" t="s">
        <v>27</v>
      </c>
      <c r="K3" t="s">
        <v>19</v>
      </c>
      <c r="L3" t="s">
        <v>28</v>
      </c>
      <c r="M3" t="s">
        <v>29</v>
      </c>
      <c r="N3" t="s">
        <v>30</v>
      </c>
      <c r="O3" t="s">
        <v>31</v>
      </c>
      <c r="P3" t="s">
        <v>32</v>
      </c>
      <c r="Q3">
        <v>12.661799999999999</v>
      </c>
      <c r="R3">
        <v>120.4357333</v>
      </c>
    </row>
    <row r="4" spans="1:26" x14ac:dyDescent="0.25">
      <c r="A4" t="s">
        <v>33</v>
      </c>
      <c r="B4" t="str">
        <f>_xlfn.IFNA(VLOOKUP(I4,WithCOI!A:B,2,FALSE),"No COI")</f>
        <v>With COI</v>
      </c>
      <c r="C4" t="str">
        <f>IF(_xlfn.IFNA(VLOOKUP(I4,WithITS2!A:A,1,FALSE),"None") = "None", "None","Yes")</f>
        <v>Yes</v>
      </c>
      <c r="D4" t="str">
        <f>IF(AND(B4="No COI",C4="Yes"),"Double check","OK")</f>
        <v>OK</v>
      </c>
      <c r="G4" t="s">
        <v>23</v>
      </c>
      <c r="H4" t="str">
        <f>G4</f>
        <v>Hh</v>
      </c>
      <c r="I4" t="s">
        <v>34</v>
      </c>
      <c r="J4" t="s">
        <v>34</v>
      </c>
      <c r="K4" t="s">
        <v>19</v>
      </c>
      <c r="L4" t="s">
        <v>28</v>
      </c>
      <c r="M4" t="s">
        <v>35</v>
      </c>
      <c r="N4" t="s">
        <v>36</v>
      </c>
      <c r="O4" t="s">
        <v>31</v>
      </c>
      <c r="P4" t="s">
        <v>32</v>
      </c>
      <c r="Q4">
        <v>12.661799999999999</v>
      </c>
      <c r="R4">
        <v>120.4357333</v>
      </c>
    </row>
    <row r="5" spans="1:26" x14ac:dyDescent="0.25">
      <c r="A5" t="s">
        <v>41</v>
      </c>
      <c r="B5" t="str">
        <f>_xlfn.IFNA(VLOOKUP(I5,WithCOI!A:B,2,FALSE),"No COI")</f>
        <v>With COI</v>
      </c>
      <c r="C5" t="str">
        <f>IF(_xlfn.IFNA(VLOOKUP(I5,WithITS2!A:A,1,FALSE),"None") = "None", "None","Yes")</f>
        <v>Yes</v>
      </c>
      <c r="D5" t="str">
        <f>IF(AND(B5="No COI",C5="Yes"),"Double check","OK")</f>
        <v>OK</v>
      </c>
      <c r="E5" t="s">
        <v>943</v>
      </c>
      <c r="F5" t="s">
        <v>931</v>
      </c>
      <c r="G5" t="s">
        <v>23</v>
      </c>
      <c r="H5" t="s">
        <v>23</v>
      </c>
      <c r="I5" t="s">
        <v>42</v>
      </c>
      <c r="J5" t="s">
        <v>42</v>
      </c>
      <c r="K5" t="s">
        <v>19</v>
      </c>
      <c r="L5" t="s">
        <v>28</v>
      </c>
      <c r="M5" t="s">
        <v>43</v>
      </c>
      <c r="N5" t="s">
        <v>44</v>
      </c>
      <c r="O5" t="s">
        <v>31</v>
      </c>
      <c r="P5" t="s">
        <v>32</v>
      </c>
      <c r="Q5">
        <v>12.661799999999999</v>
      </c>
      <c r="R5">
        <v>120.4357333</v>
      </c>
    </row>
    <row r="6" spans="1:26" x14ac:dyDescent="0.25">
      <c r="A6" t="s">
        <v>45</v>
      </c>
      <c r="B6" t="str">
        <f>_xlfn.IFNA(VLOOKUP(I6,WithCOI!A:B,2,FALSE),"No COI")</f>
        <v>With COI</v>
      </c>
      <c r="C6" t="str">
        <f>IF(_xlfn.IFNA(VLOOKUP(I6,WithITS2!A:A,1,FALSE),"None") = "None", "None","Yes")</f>
        <v>Yes</v>
      </c>
      <c r="D6" t="str">
        <f>IF(AND(B6="No COI",C6="Yes"),"Double check","OK")</f>
        <v>OK</v>
      </c>
      <c r="G6" t="s">
        <v>23</v>
      </c>
      <c r="H6" t="str">
        <f>G6</f>
        <v>Hh</v>
      </c>
      <c r="I6" t="s">
        <v>46</v>
      </c>
      <c r="J6" t="s">
        <v>46</v>
      </c>
      <c r="K6" t="s">
        <v>19</v>
      </c>
      <c r="L6" t="s">
        <v>28</v>
      </c>
      <c r="M6" t="s">
        <v>47</v>
      </c>
      <c r="N6" t="s">
        <v>48</v>
      </c>
      <c r="O6" t="s">
        <v>24</v>
      </c>
      <c r="P6" t="s">
        <v>25</v>
      </c>
      <c r="Q6">
        <v>12.08708129</v>
      </c>
      <c r="R6">
        <v>121.3460231</v>
      </c>
    </row>
    <row r="7" spans="1:26" x14ac:dyDescent="0.25">
      <c r="A7" t="s">
        <v>49</v>
      </c>
      <c r="B7" t="str">
        <f>_xlfn.IFNA(VLOOKUP(I7,WithCOI!A:B,2,FALSE),"No COI")</f>
        <v>With COI</v>
      </c>
      <c r="C7" t="str">
        <f>IF(_xlfn.IFNA(VLOOKUP(I7,WithITS2!A:A,1,FALSE),"None") = "None", "None","Yes")</f>
        <v>Yes</v>
      </c>
      <c r="D7" t="str">
        <f>IF(AND(B7="No COI",C7="Yes"),"Double check","OK")</f>
        <v>OK</v>
      </c>
      <c r="G7" t="s">
        <v>23</v>
      </c>
      <c r="H7" t="str">
        <f>G7</f>
        <v>Hh</v>
      </c>
      <c r="I7" t="s">
        <v>50</v>
      </c>
      <c r="J7" t="s">
        <v>50</v>
      </c>
      <c r="K7" t="s">
        <v>19</v>
      </c>
      <c r="L7" t="s">
        <v>28</v>
      </c>
      <c r="M7" t="s">
        <v>51</v>
      </c>
      <c r="N7" t="s">
        <v>52</v>
      </c>
      <c r="O7" t="s">
        <v>24</v>
      </c>
      <c r="P7" t="s">
        <v>25</v>
      </c>
      <c r="Q7">
        <v>12.08708129</v>
      </c>
      <c r="R7">
        <v>121.3460231</v>
      </c>
    </row>
    <row r="8" spans="1:26" x14ac:dyDescent="0.25">
      <c r="A8" t="s">
        <v>53</v>
      </c>
      <c r="B8" t="str">
        <f>_xlfn.IFNA(VLOOKUP(I8,WithCOI!A:B,2,FALSE),"No COI")</f>
        <v>With COI</v>
      </c>
      <c r="C8" t="str">
        <f>IF(_xlfn.IFNA(VLOOKUP(I8,WithITS2!A:A,1,FALSE),"None") = "None", "None","Yes")</f>
        <v>Yes</v>
      </c>
      <c r="D8" t="str">
        <f>IF(AND(B8="No COI",C8="Yes"),"Double check","OK")</f>
        <v>OK</v>
      </c>
      <c r="G8" t="s">
        <v>23</v>
      </c>
      <c r="H8" t="str">
        <f>G8</f>
        <v>Hh</v>
      </c>
      <c r="I8" t="s">
        <v>54</v>
      </c>
      <c r="J8" t="s">
        <v>54</v>
      </c>
      <c r="K8" t="s">
        <v>55</v>
      </c>
      <c r="L8" t="s">
        <v>56</v>
      </c>
      <c r="M8" t="s">
        <v>57</v>
      </c>
      <c r="N8" t="s">
        <v>58</v>
      </c>
      <c r="O8" t="s">
        <v>59</v>
      </c>
      <c r="P8" t="s">
        <v>59</v>
      </c>
      <c r="Q8">
        <v>9.6287333000000004</v>
      </c>
      <c r="R8">
        <v>123.8048167</v>
      </c>
    </row>
    <row r="9" spans="1:26" x14ac:dyDescent="0.25">
      <c r="A9" t="s">
        <v>60</v>
      </c>
      <c r="B9" t="str">
        <f>_xlfn.IFNA(VLOOKUP(I9,WithCOI!A:B,2,FALSE),"No COI")</f>
        <v>With COI</v>
      </c>
      <c r="C9" t="str">
        <f>IF(_xlfn.IFNA(VLOOKUP(I9,WithITS2!A:A,1,FALSE),"None") = "None", "None","Yes")</f>
        <v>Yes</v>
      </c>
      <c r="D9" t="str">
        <f>IF(AND(B9="No COI",C9="Yes"),"Double check","OK")</f>
        <v>OK</v>
      </c>
      <c r="G9" t="s">
        <v>23</v>
      </c>
      <c r="H9" t="str">
        <f>G9</f>
        <v>Hh</v>
      </c>
      <c r="I9" t="s">
        <v>61</v>
      </c>
      <c r="J9" t="s">
        <v>61</v>
      </c>
      <c r="K9" t="s">
        <v>55</v>
      </c>
      <c r="L9" t="s">
        <v>56</v>
      </c>
      <c r="M9" t="s">
        <v>62</v>
      </c>
      <c r="N9" t="s">
        <v>63</v>
      </c>
      <c r="O9" t="s">
        <v>59</v>
      </c>
      <c r="P9" t="s">
        <v>59</v>
      </c>
      <c r="Q9">
        <v>9.6287333000000004</v>
      </c>
      <c r="R9">
        <v>123.8048167</v>
      </c>
    </row>
    <row r="10" spans="1:26" x14ac:dyDescent="0.25">
      <c r="A10" t="s">
        <v>64</v>
      </c>
      <c r="B10" t="str">
        <f>_xlfn.IFNA(VLOOKUP(I10,WithCOI!A:B,2,FALSE),"No COI")</f>
        <v>With COI</v>
      </c>
      <c r="C10" t="str">
        <f>IF(_xlfn.IFNA(VLOOKUP(I10,WithITS2!A:A,1,FALSE),"None") = "None", "None","Yes")</f>
        <v>Yes</v>
      </c>
      <c r="D10" t="str">
        <f>IF(AND(B10="No COI",C10="Yes"),"Double check","OK")</f>
        <v>OK</v>
      </c>
      <c r="G10" t="s">
        <v>23</v>
      </c>
      <c r="H10" t="str">
        <f>G10</f>
        <v>Hh</v>
      </c>
      <c r="I10" t="s">
        <v>65</v>
      </c>
      <c r="J10" t="s">
        <v>65</v>
      </c>
      <c r="K10" t="s">
        <v>55</v>
      </c>
      <c r="L10" t="s">
        <v>56</v>
      </c>
      <c r="M10" t="s">
        <v>66</v>
      </c>
      <c r="N10" t="s">
        <v>67</v>
      </c>
      <c r="O10" t="s">
        <v>59</v>
      </c>
      <c r="P10" t="s">
        <v>59</v>
      </c>
      <c r="Q10">
        <v>9.6287333000000004</v>
      </c>
      <c r="R10">
        <v>123.8048167</v>
      </c>
    </row>
    <row r="11" spans="1:26" x14ac:dyDescent="0.25">
      <c r="A11" t="s">
        <v>68</v>
      </c>
      <c r="B11" t="str">
        <f>_xlfn.IFNA(VLOOKUP(I11,WithCOI!A:B,2,FALSE),"No COI")</f>
        <v>With COI</v>
      </c>
      <c r="C11" t="str">
        <f>IF(_xlfn.IFNA(VLOOKUP(I11,WithITS2!A:A,1,FALSE),"None") = "None", "None","Yes")</f>
        <v>Yes</v>
      </c>
      <c r="D11" t="str">
        <f>IF(AND(B11="No COI",C11="Yes"),"Double check","OK")</f>
        <v>OK</v>
      </c>
      <c r="G11" t="s">
        <v>23</v>
      </c>
      <c r="H11" t="str">
        <f>G11</f>
        <v>Hh</v>
      </c>
      <c r="I11" t="s">
        <v>69</v>
      </c>
      <c r="J11" t="s">
        <v>69</v>
      </c>
      <c r="K11" t="s">
        <v>55</v>
      </c>
      <c r="L11" t="s">
        <v>56</v>
      </c>
      <c r="M11" t="s">
        <v>70</v>
      </c>
      <c r="N11" t="s">
        <v>71</v>
      </c>
      <c r="O11" t="s">
        <v>72</v>
      </c>
      <c r="P11" t="s">
        <v>72</v>
      </c>
      <c r="Q11">
        <v>9.1074134390000001</v>
      </c>
      <c r="R11">
        <v>124.8032036</v>
      </c>
    </row>
    <row r="12" spans="1:26" x14ac:dyDescent="0.25">
      <c r="A12" t="s">
        <v>73</v>
      </c>
      <c r="B12" t="str">
        <f>_xlfn.IFNA(VLOOKUP(I12,WithCOI!A:B,2,FALSE),"No COI")</f>
        <v>With COI</v>
      </c>
      <c r="C12" t="str">
        <f>IF(_xlfn.IFNA(VLOOKUP(I12,WithITS2!A:A,1,FALSE),"None") = "None", "None","Yes")</f>
        <v>Yes</v>
      </c>
      <c r="D12" t="str">
        <f>IF(AND(B12="No COI",C12="Yes"),"Double check","OK")</f>
        <v>OK</v>
      </c>
      <c r="G12" t="s">
        <v>23</v>
      </c>
      <c r="H12" t="str">
        <f>G12</f>
        <v>Hh</v>
      </c>
      <c r="I12" t="s">
        <v>74</v>
      </c>
      <c r="J12" t="s">
        <v>74</v>
      </c>
      <c r="K12" t="s">
        <v>55</v>
      </c>
      <c r="L12" t="s">
        <v>56</v>
      </c>
      <c r="M12" t="s">
        <v>75</v>
      </c>
      <c r="N12" t="s">
        <v>76</v>
      </c>
      <c r="O12" t="s">
        <v>72</v>
      </c>
      <c r="P12" t="s">
        <v>72</v>
      </c>
      <c r="Q12">
        <v>9.1074134390000001</v>
      </c>
      <c r="R12">
        <v>124.8032036</v>
      </c>
    </row>
    <row r="13" spans="1:26" x14ac:dyDescent="0.25">
      <c r="A13" t="s">
        <v>77</v>
      </c>
      <c r="B13" t="str">
        <f>_xlfn.IFNA(VLOOKUP(I13,WithCOI!A:B,2,FALSE),"No COI")</f>
        <v>With COI</v>
      </c>
      <c r="C13" t="str">
        <f>IF(_xlfn.IFNA(VLOOKUP(I13,WithITS2!A:A,1,FALSE),"None") = "None", "None","Yes")</f>
        <v>Yes</v>
      </c>
      <c r="D13" t="str">
        <f>IF(AND(B13="No COI",C13="Yes"),"Double check","OK")</f>
        <v>OK</v>
      </c>
      <c r="G13" t="s">
        <v>23</v>
      </c>
      <c r="H13" t="str">
        <f>G13</f>
        <v>Hh</v>
      </c>
      <c r="I13" t="s">
        <v>78</v>
      </c>
      <c r="J13" t="s">
        <v>78</v>
      </c>
      <c r="K13" t="s">
        <v>55</v>
      </c>
      <c r="L13" t="s">
        <v>56</v>
      </c>
      <c r="M13" t="s">
        <v>79</v>
      </c>
      <c r="N13" t="s">
        <v>80</v>
      </c>
      <c r="O13" t="s">
        <v>72</v>
      </c>
      <c r="P13" t="s">
        <v>72</v>
      </c>
      <c r="Q13">
        <v>9.1074134390000001</v>
      </c>
      <c r="R13">
        <v>124.8032036</v>
      </c>
    </row>
    <row r="14" spans="1:26" x14ac:dyDescent="0.25">
      <c r="A14" t="s">
        <v>81</v>
      </c>
      <c r="B14" t="str">
        <f>_xlfn.IFNA(VLOOKUP(I14,WithCOI!A:B,2,FALSE),"No COI")</f>
        <v>With COI</v>
      </c>
      <c r="C14" t="str">
        <f>IF(_xlfn.IFNA(VLOOKUP(I14,WithITS2!A:A,1,FALSE),"None") = "None", "None","Yes")</f>
        <v>Yes</v>
      </c>
      <c r="D14" t="str">
        <f>IF(AND(B14="No COI",C14="Yes"),"Double check","OK")</f>
        <v>OK</v>
      </c>
      <c r="G14" t="s">
        <v>23</v>
      </c>
      <c r="H14" t="str">
        <f>G14</f>
        <v>Hh</v>
      </c>
      <c r="I14" t="s">
        <v>82</v>
      </c>
      <c r="J14" t="s">
        <v>82</v>
      </c>
      <c r="K14" t="s">
        <v>55</v>
      </c>
      <c r="L14" t="s">
        <v>56</v>
      </c>
      <c r="M14" t="s">
        <v>83</v>
      </c>
      <c r="N14" t="s">
        <v>84</v>
      </c>
      <c r="O14" t="s">
        <v>85</v>
      </c>
      <c r="P14" t="s">
        <v>86</v>
      </c>
      <c r="Q14">
        <v>11.058299999999999</v>
      </c>
      <c r="R14">
        <v>125.6537</v>
      </c>
    </row>
    <row r="15" spans="1:26" x14ac:dyDescent="0.25">
      <c r="A15" t="s">
        <v>87</v>
      </c>
      <c r="B15" t="str">
        <f>_xlfn.IFNA(VLOOKUP(I15,WithCOI!A:B,2,FALSE),"No COI")</f>
        <v>With COI</v>
      </c>
      <c r="C15" t="str">
        <f>IF(_xlfn.IFNA(VLOOKUP(I15,WithITS2!A:A,1,FALSE),"None") = "None", "None","Yes")</f>
        <v>Yes</v>
      </c>
      <c r="D15" t="str">
        <f>IF(AND(B15="No COI",C15="Yes"),"Double check","OK")</f>
        <v>OK</v>
      </c>
      <c r="G15" t="s">
        <v>23</v>
      </c>
      <c r="H15" t="str">
        <f>G15</f>
        <v>Hh</v>
      </c>
      <c r="I15" t="s">
        <v>88</v>
      </c>
      <c r="J15" t="s">
        <v>88</v>
      </c>
      <c r="K15" t="s">
        <v>55</v>
      </c>
      <c r="L15" t="s">
        <v>56</v>
      </c>
      <c r="M15" t="s">
        <v>89</v>
      </c>
      <c r="N15" t="s">
        <v>90</v>
      </c>
      <c r="O15" t="s">
        <v>85</v>
      </c>
      <c r="P15" t="s">
        <v>86</v>
      </c>
      <c r="Q15">
        <v>11.058299999999999</v>
      </c>
      <c r="R15">
        <v>125.6537</v>
      </c>
    </row>
    <row r="16" spans="1:26" x14ac:dyDescent="0.25">
      <c r="A16" t="s">
        <v>91</v>
      </c>
      <c r="B16" t="str">
        <f>_xlfn.IFNA(VLOOKUP(I16,WithCOI!A:B,2,FALSE),"No COI")</f>
        <v>With COI</v>
      </c>
      <c r="C16" t="str">
        <f>IF(_xlfn.IFNA(VLOOKUP(I16,WithITS2!A:A,1,FALSE),"None") = "None", "None","Yes")</f>
        <v>Yes</v>
      </c>
      <c r="D16" t="str">
        <f>IF(AND(B16="No COI",C16="Yes"),"Double check","OK")</f>
        <v>OK</v>
      </c>
      <c r="G16" t="s">
        <v>23</v>
      </c>
      <c r="H16" t="str">
        <f>G16</f>
        <v>Hh</v>
      </c>
      <c r="I16" t="s">
        <v>92</v>
      </c>
      <c r="J16" t="s">
        <v>92</v>
      </c>
      <c r="K16" t="s">
        <v>55</v>
      </c>
      <c r="L16" t="s">
        <v>56</v>
      </c>
      <c r="M16" t="s">
        <v>93</v>
      </c>
      <c r="N16" t="s">
        <v>94</v>
      </c>
      <c r="O16" t="s">
        <v>85</v>
      </c>
      <c r="P16" t="s">
        <v>86</v>
      </c>
      <c r="Q16">
        <v>11.058299999999999</v>
      </c>
      <c r="R16">
        <v>125.6537</v>
      </c>
    </row>
    <row r="17" spans="1:18" x14ac:dyDescent="0.25">
      <c r="A17" t="s">
        <v>95</v>
      </c>
      <c r="B17" t="str">
        <f>_xlfn.IFNA(VLOOKUP(I17,WithCOI!A:B,2,FALSE),"No COI")</f>
        <v>With COI</v>
      </c>
      <c r="C17" t="str">
        <f>IF(_xlfn.IFNA(VLOOKUP(I17,WithITS2!A:A,1,FALSE),"None") = "None", "None","Yes")</f>
        <v>Yes</v>
      </c>
      <c r="D17" t="str">
        <f>IF(AND(B17="No COI",C17="Yes"),"Double check","OK")</f>
        <v>OK</v>
      </c>
      <c r="G17" t="s">
        <v>23</v>
      </c>
      <c r="H17" t="str">
        <f>G17</f>
        <v>Hh</v>
      </c>
      <c r="I17" t="s">
        <v>96</v>
      </c>
      <c r="J17" t="s">
        <v>96</v>
      </c>
      <c r="K17" t="s">
        <v>55</v>
      </c>
      <c r="L17" t="s">
        <v>97</v>
      </c>
      <c r="M17" t="s">
        <v>98</v>
      </c>
      <c r="N17" t="s">
        <v>99</v>
      </c>
      <c r="O17" t="s">
        <v>100</v>
      </c>
      <c r="P17" t="s">
        <v>101</v>
      </c>
      <c r="Q17">
        <v>16.44411667</v>
      </c>
      <c r="R17">
        <v>119.92153329999999</v>
      </c>
    </row>
    <row r="18" spans="1:18" x14ac:dyDescent="0.25">
      <c r="A18" t="s">
        <v>102</v>
      </c>
      <c r="B18" t="str">
        <f>_xlfn.IFNA(VLOOKUP(I18,WithCOI!A:B,2,FALSE),"No COI")</f>
        <v>With COI</v>
      </c>
      <c r="C18" t="str">
        <f>IF(_xlfn.IFNA(VLOOKUP(I18,WithITS2!A:A,1,FALSE),"None") = "None", "None","Yes")</f>
        <v>Yes</v>
      </c>
      <c r="D18" t="str">
        <f>IF(AND(B18="No COI",C18="Yes"),"Double check","OK")</f>
        <v>OK</v>
      </c>
      <c r="G18" t="s">
        <v>23</v>
      </c>
      <c r="H18" t="str">
        <f>G18</f>
        <v>Hh</v>
      </c>
      <c r="I18" t="s">
        <v>103</v>
      </c>
      <c r="J18" t="s">
        <v>103</v>
      </c>
      <c r="K18" t="s">
        <v>55</v>
      </c>
      <c r="L18" t="s">
        <v>97</v>
      </c>
      <c r="M18" t="s">
        <v>104</v>
      </c>
      <c r="N18" t="s">
        <v>105</v>
      </c>
      <c r="O18" t="s">
        <v>100</v>
      </c>
      <c r="P18" t="s">
        <v>101</v>
      </c>
      <c r="Q18">
        <v>16.44411667</v>
      </c>
      <c r="R18">
        <v>119.92153329999999</v>
      </c>
    </row>
    <row r="19" spans="1:18" x14ac:dyDescent="0.25">
      <c r="A19" t="s">
        <v>106</v>
      </c>
      <c r="B19" t="str">
        <f>_xlfn.IFNA(VLOOKUP(I19,WithCOI!A:B,2,FALSE),"No COI")</f>
        <v>With COI</v>
      </c>
      <c r="C19" t="str">
        <f>IF(_xlfn.IFNA(VLOOKUP(I19,WithITS2!A:A,1,FALSE),"None") = "None", "None","Yes")</f>
        <v>Yes</v>
      </c>
      <c r="D19" t="str">
        <f>IF(AND(B19="No COI",C19="Yes"),"Double check","OK")</f>
        <v>OK</v>
      </c>
      <c r="G19" t="s">
        <v>23</v>
      </c>
      <c r="H19" t="str">
        <f>G19</f>
        <v>Hh</v>
      </c>
      <c r="I19" t="s">
        <v>107</v>
      </c>
      <c r="J19" t="s">
        <v>107</v>
      </c>
      <c r="K19" t="s">
        <v>55</v>
      </c>
      <c r="L19" t="s">
        <v>97</v>
      </c>
      <c r="M19" t="s">
        <v>108</v>
      </c>
      <c r="N19" t="s">
        <v>109</v>
      </c>
      <c r="O19" t="s">
        <v>100</v>
      </c>
      <c r="P19" t="s">
        <v>101</v>
      </c>
      <c r="Q19">
        <v>16.44411667</v>
      </c>
      <c r="R19">
        <v>119.92153329999999</v>
      </c>
    </row>
    <row r="20" spans="1:18" x14ac:dyDescent="0.25">
      <c r="A20" t="s">
        <v>119</v>
      </c>
      <c r="B20" t="str">
        <f>_xlfn.IFNA(VLOOKUP(I20,WithCOI!A:B,2,FALSE),"No COI")</f>
        <v>With COI</v>
      </c>
      <c r="C20" t="str">
        <f>IF(_xlfn.IFNA(VLOOKUP(I20,WithITS2!A:A,1,FALSE),"None") = "None", "None","Yes")</f>
        <v>Yes</v>
      </c>
      <c r="D20" t="str">
        <f>IF(AND(B20="No COI",C20="Yes"),"Double check","OK")</f>
        <v>OK</v>
      </c>
      <c r="E20" t="s">
        <v>943</v>
      </c>
      <c r="F20" t="s">
        <v>931</v>
      </c>
      <c r="G20" t="s">
        <v>114</v>
      </c>
      <c r="H20" t="s">
        <v>23</v>
      </c>
      <c r="I20" s="2" t="s">
        <v>120</v>
      </c>
      <c r="J20" s="2" t="s">
        <v>950</v>
      </c>
      <c r="K20" t="s">
        <v>19</v>
      </c>
      <c r="L20" t="s">
        <v>28</v>
      </c>
      <c r="M20" t="s">
        <v>121</v>
      </c>
      <c r="N20" t="s">
        <v>122</v>
      </c>
      <c r="O20" t="s">
        <v>31</v>
      </c>
      <c r="P20" t="s">
        <v>32</v>
      </c>
      <c r="Q20">
        <v>12.661799999999999</v>
      </c>
      <c r="R20">
        <v>120.4357333</v>
      </c>
    </row>
    <row r="21" spans="1:18" x14ac:dyDescent="0.25">
      <c r="A21" t="s">
        <v>110</v>
      </c>
      <c r="B21" t="str">
        <f>_xlfn.IFNA(VLOOKUP(I21,WithCOI!A:B,2,FALSE),"No COI")</f>
        <v>With COI</v>
      </c>
      <c r="C21" t="str">
        <f>IF(_xlfn.IFNA(VLOOKUP(I21,WithITS2!A:A,1,FALSE),"None") = "None", "None","Yes")</f>
        <v>Yes</v>
      </c>
      <c r="D21" t="str">
        <f>IF(AND(B21="No COI",C21="Yes"),"Double check","OK")</f>
        <v>OK</v>
      </c>
      <c r="G21" t="s">
        <v>114</v>
      </c>
      <c r="H21" t="str">
        <f>G21</f>
        <v>Hp</v>
      </c>
      <c r="I21" t="s">
        <v>111</v>
      </c>
      <c r="J21" t="s">
        <v>111</v>
      </c>
      <c r="K21" t="s">
        <v>19</v>
      </c>
      <c r="L21" t="s">
        <v>20</v>
      </c>
      <c r="M21" t="s">
        <v>112</v>
      </c>
      <c r="N21" t="s">
        <v>113</v>
      </c>
      <c r="O21" t="s">
        <v>24</v>
      </c>
      <c r="P21" t="s">
        <v>25</v>
      </c>
      <c r="Q21">
        <v>12.08708129</v>
      </c>
      <c r="R21">
        <v>121.3460231</v>
      </c>
    </row>
    <row r="22" spans="1:18" x14ac:dyDescent="0.25">
      <c r="A22" t="s">
        <v>115</v>
      </c>
      <c r="B22" t="str">
        <f>_xlfn.IFNA(VLOOKUP(I22,WithCOI!A:B,2,FALSE),"No COI")</f>
        <v>With COI</v>
      </c>
      <c r="C22" t="str">
        <f>IF(_xlfn.IFNA(VLOOKUP(I22,WithITS2!A:A,1,FALSE),"None") = "None", "None","Yes")</f>
        <v>Yes</v>
      </c>
      <c r="D22" t="str">
        <f>IF(AND(B22="No COI",C22="Yes"),"Double check","OK")</f>
        <v>OK</v>
      </c>
      <c r="G22" t="s">
        <v>114</v>
      </c>
      <c r="H22" t="str">
        <f>G22</f>
        <v>Hp</v>
      </c>
      <c r="I22" t="s">
        <v>116</v>
      </c>
      <c r="J22" t="s">
        <v>116</v>
      </c>
      <c r="K22" t="s">
        <v>19</v>
      </c>
      <c r="L22" t="s">
        <v>20</v>
      </c>
      <c r="M22" t="s">
        <v>117</v>
      </c>
      <c r="N22" t="s">
        <v>118</v>
      </c>
      <c r="O22" t="s">
        <v>24</v>
      </c>
      <c r="P22" t="s">
        <v>25</v>
      </c>
      <c r="Q22">
        <v>12.08708129</v>
      </c>
      <c r="R22">
        <v>121.3460231</v>
      </c>
    </row>
    <row r="23" spans="1:18" x14ac:dyDescent="0.25">
      <c r="A23" t="s">
        <v>123</v>
      </c>
      <c r="B23" t="str">
        <f>_xlfn.IFNA(VLOOKUP(I23,WithCOI!A:B,2,FALSE),"No COI")</f>
        <v>With COI</v>
      </c>
      <c r="C23" t="str">
        <f>IF(_xlfn.IFNA(VLOOKUP(I23,WithITS2!A:A,1,FALSE),"None") = "None", "None","Yes")</f>
        <v>Yes</v>
      </c>
      <c r="D23" t="str">
        <f>IF(AND(B23="No COI",C23="Yes"),"Double check","OK")</f>
        <v>OK</v>
      </c>
      <c r="E23" t="s">
        <v>945</v>
      </c>
      <c r="F23" t="s">
        <v>931</v>
      </c>
      <c r="G23" t="s">
        <v>114</v>
      </c>
      <c r="H23" t="s">
        <v>114</v>
      </c>
      <c r="I23" t="s">
        <v>124</v>
      </c>
      <c r="J23" t="s">
        <v>124</v>
      </c>
      <c r="K23" t="s">
        <v>19</v>
      </c>
      <c r="L23" t="s">
        <v>28</v>
      </c>
      <c r="M23" t="s">
        <v>125</v>
      </c>
      <c r="N23" t="s">
        <v>126</v>
      </c>
      <c r="O23" t="s">
        <v>31</v>
      </c>
      <c r="P23" t="s">
        <v>32</v>
      </c>
      <c r="Q23">
        <v>12.661799999999999</v>
      </c>
      <c r="R23">
        <v>120.4357333</v>
      </c>
    </row>
    <row r="24" spans="1:18" x14ac:dyDescent="0.25">
      <c r="A24" t="s">
        <v>127</v>
      </c>
      <c r="B24" t="str">
        <f>_xlfn.IFNA(VLOOKUP(I24,WithCOI!A:B,2,FALSE),"No COI")</f>
        <v>With COI</v>
      </c>
      <c r="C24" t="str">
        <f>IF(_xlfn.IFNA(VLOOKUP(I24,WithITS2!A:A,1,FALSE),"None") = "None", "None","Yes")</f>
        <v>Yes</v>
      </c>
      <c r="D24" t="str">
        <f>IF(AND(B24="No COI",C24="Yes"),"Double check","OK")</f>
        <v>OK</v>
      </c>
      <c r="G24" t="s">
        <v>114</v>
      </c>
      <c r="H24" t="str">
        <f>G24</f>
        <v>Hp</v>
      </c>
      <c r="I24" t="s">
        <v>128</v>
      </c>
      <c r="J24" t="s">
        <v>128</v>
      </c>
      <c r="K24" t="s">
        <v>19</v>
      </c>
      <c r="L24" t="s">
        <v>28</v>
      </c>
      <c r="M24" t="s">
        <v>129</v>
      </c>
      <c r="N24" t="s">
        <v>130</v>
      </c>
      <c r="O24" t="s">
        <v>24</v>
      </c>
      <c r="P24" t="s">
        <v>25</v>
      </c>
      <c r="Q24">
        <v>12.08708129</v>
      </c>
      <c r="R24">
        <v>121.3460231</v>
      </c>
    </row>
    <row r="25" spans="1:18" x14ac:dyDescent="0.25">
      <c r="A25" t="s">
        <v>37</v>
      </c>
      <c r="B25" t="str">
        <f>_xlfn.IFNA(VLOOKUP(I25,WithCOI!A:B,2,FALSE),"No COI")</f>
        <v>No COI</v>
      </c>
      <c r="C25" t="str">
        <f>IF(_xlfn.IFNA(VLOOKUP(I25,WithITS2!A:A,1,FALSE),"None") = "None", "None","Yes")</f>
        <v>Yes</v>
      </c>
      <c r="D25" t="str">
        <f>IF(AND(B25="No COI",C25="Yes"),"Double check","OK")</f>
        <v>Double check</v>
      </c>
      <c r="E25" t="s">
        <v>944</v>
      </c>
      <c r="F25" t="s">
        <v>931</v>
      </c>
      <c r="G25" t="s">
        <v>23</v>
      </c>
      <c r="H25" t="s">
        <v>137</v>
      </c>
      <c r="I25" s="2" t="s">
        <v>38</v>
      </c>
      <c r="J25" s="2" t="s">
        <v>951</v>
      </c>
      <c r="K25" t="s">
        <v>19</v>
      </c>
      <c r="L25" t="s">
        <v>28</v>
      </c>
      <c r="M25" t="s">
        <v>39</v>
      </c>
      <c r="N25" t="s">
        <v>40</v>
      </c>
      <c r="O25" t="s">
        <v>31</v>
      </c>
      <c r="P25" t="s">
        <v>32</v>
      </c>
      <c r="Q25">
        <v>12.661799999999999</v>
      </c>
      <c r="R25">
        <v>120.4357333</v>
      </c>
    </row>
    <row r="26" spans="1:18" x14ac:dyDescent="0.25">
      <c r="A26" t="s">
        <v>131</v>
      </c>
      <c r="B26" t="str">
        <f>_xlfn.IFNA(VLOOKUP(I26,WithCOI!A:B,2,FALSE),"No COI")</f>
        <v>No COI</v>
      </c>
      <c r="C26" t="str">
        <f>IF(_xlfn.IFNA(VLOOKUP(I26,WithITS2!A:A,1,FALSE),"None") = "None", "None","Yes")</f>
        <v>None</v>
      </c>
      <c r="D26" t="str">
        <f>IF(AND(B26="No COI",C26="Yes"),"Double check","OK")</f>
        <v>OK</v>
      </c>
      <c r="G26" t="s">
        <v>137</v>
      </c>
      <c r="H26" t="str">
        <f>G26</f>
        <v>Tc</v>
      </c>
      <c r="I26" t="s">
        <v>132</v>
      </c>
      <c r="J26" t="s">
        <v>132</v>
      </c>
      <c r="K26" t="s">
        <v>133</v>
      </c>
      <c r="L26" t="s">
        <v>134</v>
      </c>
      <c r="M26" t="s">
        <v>135</v>
      </c>
      <c r="N26" t="s">
        <v>136</v>
      </c>
      <c r="O26" t="s">
        <v>24</v>
      </c>
      <c r="P26" t="s">
        <v>25</v>
      </c>
      <c r="Q26">
        <v>12.08708129</v>
      </c>
      <c r="R26">
        <v>121.3460231</v>
      </c>
    </row>
    <row r="27" spans="1:18" x14ac:dyDescent="0.25">
      <c r="A27" t="s">
        <v>138</v>
      </c>
      <c r="B27" t="str">
        <f>_xlfn.IFNA(VLOOKUP(I27,WithCOI!A:B,2,FALSE),"No COI")</f>
        <v>No COI</v>
      </c>
      <c r="C27" t="str">
        <f>IF(_xlfn.IFNA(VLOOKUP(I27,WithITS2!A:A,1,FALSE),"None") = "None", "None","Yes")</f>
        <v>None</v>
      </c>
      <c r="D27" t="str">
        <f>IF(AND(B27="No COI",C27="Yes"),"Double check","OK")</f>
        <v>OK</v>
      </c>
      <c r="G27" t="s">
        <v>137</v>
      </c>
      <c r="H27" t="str">
        <f>G27</f>
        <v>Tc</v>
      </c>
      <c r="I27" t="s">
        <v>139</v>
      </c>
      <c r="J27" t="s">
        <v>139</v>
      </c>
      <c r="K27" t="s">
        <v>133</v>
      </c>
      <c r="L27" t="s">
        <v>134</v>
      </c>
      <c r="M27" t="s">
        <v>140</v>
      </c>
      <c r="N27" t="s">
        <v>141</v>
      </c>
      <c r="O27" t="s">
        <v>24</v>
      </c>
      <c r="P27" t="s">
        <v>25</v>
      </c>
      <c r="Q27">
        <v>12.08708129</v>
      </c>
      <c r="R27">
        <v>121.3460231</v>
      </c>
    </row>
    <row r="28" spans="1:18" x14ac:dyDescent="0.25">
      <c r="A28" t="s">
        <v>142</v>
      </c>
      <c r="B28" t="str">
        <f>_xlfn.IFNA(VLOOKUP(I28,WithCOI!A:B,2,FALSE),"No COI")</f>
        <v>No COI</v>
      </c>
      <c r="C28" t="str">
        <f>IF(_xlfn.IFNA(VLOOKUP(I28,WithITS2!A:A,1,FALSE),"None") = "None", "None","Yes")</f>
        <v>None</v>
      </c>
      <c r="D28" t="str">
        <f>IF(AND(B28="No COI",C28="Yes"),"Double check","OK")</f>
        <v>OK</v>
      </c>
      <c r="G28" t="s">
        <v>137</v>
      </c>
      <c r="H28" t="str">
        <f>G28</f>
        <v>Tc</v>
      </c>
      <c r="I28" t="s">
        <v>143</v>
      </c>
      <c r="J28" t="s">
        <v>143</v>
      </c>
      <c r="K28" t="s">
        <v>133</v>
      </c>
      <c r="L28" t="s">
        <v>134</v>
      </c>
      <c r="M28" t="s">
        <v>144</v>
      </c>
      <c r="N28" t="s">
        <v>145</v>
      </c>
      <c r="O28" t="s">
        <v>24</v>
      </c>
      <c r="P28" t="s">
        <v>25</v>
      </c>
      <c r="Q28">
        <v>12.08708129</v>
      </c>
      <c r="R28">
        <v>121.3460231</v>
      </c>
    </row>
    <row r="29" spans="1:18" x14ac:dyDescent="0.25">
      <c r="A29" t="s">
        <v>146</v>
      </c>
      <c r="B29" t="str">
        <f>_xlfn.IFNA(VLOOKUP(I29,WithCOI!A:B,2,FALSE),"No COI")</f>
        <v>No COI</v>
      </c>
      <c r="C29" t="str">
        <f>IF(_xlfn.IFNA(VLOOKUP(I29,WithITS2!A:A,1,FALSE),"None") = "None", "None","Yes")</f>
        <v>None</v>
      </c>
      <c r="D29" t="str">
        <f>IF(AND(B29="No COI",C29="Yes"),"Double check","OK")</f>
        <v>OK</v>
      </c>
      <c r="G29" t="s">
        <v>137</v>
      </c>
      <c r="H29" t="str">
        <f>G29</f>
        <v>Tc</v>
      </c>
      <c r="I29" t="s">
        <v>147</v>
      </c>
      <c r="J29" t="s">
        <v>147</v>
      </c>
      <c r="K29" t="s">
        <v>133</v>
      </c>
      <c r="L29" t="s">
        <v>134</v>
      </c>
      <c r="M29" t="s">
        <v>148</v>
      </c>
      <c r="N29" t="s">
        <v>149</v>
      </c>
      <c r="O29" t="s">
        <v>24</v>
      </c>
      <c r="P29" t="s">
        <v>25</v>
      </c>
      <c r="Q29">
        <v>12.08708129</v>
      </c>
      <c r="R29">
        <v>121.3460231</v>
      </c>
    </row>
    <row r="30" spans="1:18" x14ac:dyDescent="0.25">
      <c r="A30" t="s">
        <v>150</v>
      </c>
      <c r="B30" t="str">
        <f>_xlfn.IFNA(VLOOKUP(I30,WithCOI!A:B,2,FALSE),"No COI")</f>
        <v>No COI</v>
      </c>
      <c r="C30" t="str">
        <f>IF(_xlfn.IFNA(VLOOKUP(I30,WithITS2!A:A,1,FALSE),"None") = "None", "None","Yes")</f>
        <v>None</v>
      </c>
      <c r="D30" t="str">
        <f>IF(AND(B30="No COI",C30="Yes"),"Double check","OK")</f>
        <v>OK</v>
      </c>
      <c r="G30" t="s">
        <v>137</v>
      </c>
      <c r="H30" t="str">
        <f>G30</f>
        <v>Tc</v>
      </c>
      <c r="I30" t="s">
        <v>151</v>
      </c>
      <c r="J30" t="s">
        <v>151</v>
      </c>
      <c r="K30" t="s">
        <v>133</v>
      </c>
      <c r="L30" t="s">
        <v>134</v>
      </c>
      <c r="M30" t="s">
        <v>152</v>
      </c>
      <c r="N30" t="s">
        <v>153</v>
      </c>
      <c r="O30" t="s">
        <v>24</v>
      </c>
      <c r="P30" t="s">
        <v>25</v>
      </c>
      <c r="Q30">
        <v>12.08708129</v>
      </c>
      <c r="R30">
        <v>121.3460231</v>
      </c>
    </row>
    <row r="31" spans="1:18" x14ac:dyDescent="0.25">
      <c r="A31" t="s">
        <v>154</v>
      </c>
      <c r="B31" t="str">
        <f>_xlfn.IFNA(VLOOKUP(I31,WithCOI!A:B,2,FALSE),"No COI")</f>
        <v>With COI</v>
      </c>
      <c r="C31" t="str">
        <f>IF(_xlfn.IFNA(VLOOKUP(I31,WithITS2!A:A,1,FALSE),"None") = "None", "None","Yes")</f>
        <v>Yes</v>
      </c>
      <c r="D31" t="str">
        <f>IF(AND(B31="No COI",C31="Yes"),"Double check","OK")</f>
        <v>OK</v>
      </c>
      <c r="G31" t="s">
        <v>137</v>
      </c>
      <c r="H31" t="str">
        <f>G31</f>
        <v>Tc</v>
      </c>
      <c r="I31" t="s">
        <v>155</v>
      </c>
      <c r="J31" t="s">
        <v>155</v>
      </c>
      <c r="K31" t="s">
        <v>19</v>
      </c>
      <c r="L31" t="s">
        <v>20</v>
      </c>
      <c r="M31" t="s">
        <v>156</v>
      </c>
      <c r="N31" t="s">
        <v>157</v>
      </c>
      <c r="O31" t="s">
        <v>158</v>
      </c>
      <c r="P31" t="s">
        <v>32</v>
      </c>
      <c r="Q31">
        <v>12.639566670000001</v>
      </c>
      <c r="R31">
        <v>120.4516167</v>
      </c>
    </row>
    <row r="32" spans="1:18" x14ac:dyDescent="0.25">
      <c r="A32" t="s">
        <v>159</v>
      </c>
      <c r="B32" t="str">
        <f>_xlfn.IFNA(VLOOKUP(I32,WithCOI!A:B,2,FALSE),"No COI")</f>
        <v>With COI</v>
      </c>
      <c r="C32" t="str">
        <f>IF(_xlfn.IFNA(VLOOKUP(I32,WithITS2!A:A,1,FALSE),"None") = "None", "None","Yes")</f>
        <v>Yes</v>
      </c>
      <c r="D32" t="str">
        <f>IF(AND(B32="No COI",C32="Yes"),"Double check","OK")</f>
        <v>OK</v>
      </c>
      <c r="G32" t="s">
        <v>137</v>
      </c>
      <c r="H32" t="str">
        <f>G32</f>
        <v>Tc</v>
      </c>
      <c r="I32" t="s">
        <v>160</v>
      </c>
      <c r="J32" t="s">
        <v>160</v>
      </c>
      <c r="K32" t="s">
        <v>19</v>
      </c>
      <c r="L32" t="s">
        <v>20</v>
      </c>
      <c r="M32" t="s">
        <v>161</v>
      </c>
      <c r="N32" t="s">
        <v>162</v>
      </c>
      <c r="O32" t="s">
        <v>158</v>
      </c>
      <c r="P32" t="s">
        <v>32</v>
      </c>
      <c r="Q32">
        <v>12.639566670000001</v>
      </c>
      <c r="R32">
        <v>120.4516167</v>
      </c>
    </row>
    <row r="33" spans="1:18" x14ac:dyDescent="0.25">
      <c r="A33" t="s">
        <v>163</v>
      </c>
      <c r="B33" t="str">
        <f>_xlfn.IFNA(VLOOKUP(I33,WithCOI!A:B,2,FALSE),"No COI")</f>
        <v>With COI</v>
      </c>
      <c r="C33" t="str">
        <f>IF(_xlfn.IFNA(VLOOKUP(I33,WithITS2!A:A,1,FALSE),"None") = "None", "None","Yes")</f>
        <v>Yes</v>
      </c>
      <c r="D33" t="str">
        <f>IF(AND(B33="No COI",C33="Yes"),"Double check","OK")</f>
        <v>OK</v>
      </c>
      <c r="G33" t="s">
        <v>137</v>
      </c>
      <c r="H33" t="str">
        <f>G33</f>
        <v>Tc</v>
      </c>
      <c r="I33" t="s">
        <v>164</v>
      </c>
      <c r="J33" t="s">
        <v>164</v>
      </c>
      <c r="K33" t="s">
        <v>19</v>
      </c>
      <c r="L33" t="s">
        <v>20</v>
      </c>
      <c r="M33" t="s">
        <v>165</v>
      </c>
      <c r="N33" t="s">
        <v>166</v>
      </c>
      <c r="O33" t="s">
        <v>167</v>
      </c>
      <c r="P33" t="s">
        <v>168</v>
      </c>
      <c r="Q33">
        <v>15.529866699999999</v>
      </c>
      <c r="R33">
        <v>119.92481669999999</v>
      </c>
    </row>
    <row r="34" spans="1:18" x14ac:dyDescent="0.25">
      <c r="A34" t="s">
        <v>169</v>
      </c>
      <c r="B34" t="str">
        <f>_xlfn.IFNA(VLOOKUP(I34,WithCOI!A:B,2,FALSE),"No COI")</f>
        <v>With COI</v>
      </c>
      <c r="C34" t="str">
        <f>IF(_xlfn.IFNA(VLOOKUP(I34,WithITS2!A:A,1,FALSE),"None") = "None", "None","Yes")</f>
        <v>Yes</v>
      </c>
      <c r="D34" t="str">
        <f>IF(AND(B34="No COI",C34="Yes"),"Double check","OK")</f>
        <v>OK</v>
      </c>
      <c r="G34" t="s">
        <v>137</v>
      </c>
      <c r="H34" t="str">
        <f>G34</f>
        <v>Tc</v>
      </c>
      <c r="I34" t="s">
        <v>170</v>
      </c>
      <c r="J34" t="s">
        <v>170</v>
      </c>
      <c r="K34" t="s">
        <v>19</v>
      </c>
      <c r="L34" t="s">
        <v>20</v>
      </c>
      <c r="M34" t="s">
        <v>171</v>
      </c>
      <c r="N34" t="s">
        <v>172</v>
      </c>
      <c r="O34" t="s">
        <v>167</v>
      </c>
      <c r="P34" t="s">
        <v>168</v>
      </c>
      <c r="Q34">
        <v>15.529866699999999</v>
      </c>
      <c r="R34">
        <v>119.92481669999999</v>
      </c>
    </row>
    <row r="35" spans="1:18" x14ac:dyDescent="0.25">
      <c r="A35" t="s">
        <v>173</v>
      </c>
      <c r="B35" t="str">
        <f>_xlfn.IFNA(VLOOKUP(I35,WithCOI!A:B,2,FALSE),"No COI")</f>
        <v>With COI</v>
      </c>
      <c r="C35" t="str">
        <f>IF(_xlfn.IFNA(VLOOKUP(I35,WithITS2!A:A,1,FALSE),"None") = "None", "None","Yes")</f>
        <v>Yes</v>
      </c>
      <c r="D35" t="str">
        <f>IF(AND(B35="No COI",C35="Yes"),"Double check","OK")</f>
        <v>OK</v>
      </c>
      <c r="G35" t="s">
        <v>137</v>
      </c>
      <c r="H35" t="str">
        <f>G35</f>
        <v>Tc</v>
      </c>
      <c r="I35" t="s">
        <v>174</v>
      </c>
      <c r="J35" t="s">
        <v>174</v>
      </c>
      <c r="K35" t="s">
        <v>19</v>
      </c>
      <c r="L35" t="s">
        <v>20</v>
      </c>
      <c r="M35" t="s">
        <v>175</v>
      </c>
      <c r="N35" t="s">
        <v>176</v>
      </c>
      <c r="O35" t="s">
        <v>167</v>
      </c>
      <c r="P35" t="s">
        <v>168</v>
      </c>
      <c r="Q35">
        <v>15.529866699999999</v>
      </c>
      <c r="R35">
        <v>119.92481669999999</v>
      </c>
    </row>
    <row r="36" spans="1:18" x14ac:dyDescent="0.25">
      <c r="A36" t="s">
        <v>177</v>
      </c>
      <c r="B36" t="str">
        <f>_xlfn.IFNA(VLOOKUP(I36,WithCOI!A:B,2,FALSE),"No COI")</f>
        <v>With COI</v>
      </c>
      <c r="C36" t="str">
        <f>IF(_xlfn.IFNA(VLOOKUP(I36,WithITS2!A:A,1,FALSE),"None") = "None", "None","Yes")</f>
        <v>Yes</v>
      </c>
      <c r="D36" t="str">
        <f>IF(AND(B36="No COI",C36="Yes"),"Double check","OK")</f>
        <v>OK</v>
      </c>
      <c r="G36" t="s">
        <v>137</v>
      </c>
      <c r="H36" t="str">
        <f>G36</f>
        <v>Tc</v>
      </c>
      <c r="I36" t="s">
        <v>178</v>
      </c>
      <c r="J36" t="s">
        <v>178</v>
      </c>
      <c r="K36" t="s">
        <v>19</v>
      </c>
      <c r="L36" t="s">
        <v>20</v>
      </c>
      <c r="M36" t="s">
        <v>179</v>
      </c>
      <c r="N36" t="s">
        <v>180</v>
      </c>
      <c r="O36" t="s">
        <v>167</v>
      </c>
      <c r="P36" t="s">
        <v>168</v>
      </c>
      <c r="Q36">
        <v>15.529866699999999</v>
      </c>
      <c r="R36">
        <v>119.92481669999999</v>
      </c>
    </row>
    <row r="37" spans="1:18" x14ac:dyDescent="0.25">
      <c r="A37" t="s">
        <v>181</v>
      </c>
      <c r="B37" t="str">
        <f>_xlfn.IFNA(VLOOKUP(I37,WithCOI!A:B,2,FALSE),"No COI")</f>
        <v>With COI</v>
      </c>
      <c r="C37" t="str">
        <f>IF(_xlfn.IFNA(VLOOKUP(I37,WithITS2!A:A,1,FALSE),"None") = "None", "None","Yes")</f>
        <v>Yes</v>
      </c>
      <c r="D37" t="str">
        <f>IF(AND(B37="No COI",C37="Yes"),"Double check","OK")</f>
        <v>OK</v>
      </c>
      <c r="G37" t="s">
        <v>137</v>
      </c>
      <c r="H37" t="str">
        <f>G37</f>
        <v>Tc</v>
      </c>
      <c r="I37" t="s">
        <v>182</v>
      </c>
      <c r="J37" t="s">
        <v>182</v>
      </c>
      <c r="K37" t="s">
        <v>19</v>
      </c>
      <c r="L37" t="s">
        <v>20</v>
      </c>
      <c r="M37" t="s">
        <v>183</v>
      </c>
      <c r="N37" t="s">
        <v>184</v>
      </c>
      <c r="O37" t="s">
        <v>167</v>
      </c>
      <c r="P37" t="s">
        <v>168</v>
      </c>
      <c r="Q37">
        <v>15.529866699999999</v>
      </c>
      <c r="R37">
        <v>119.92481669999999</v>
      </c>
    </row>
    <row r="38" spans="1:18" x14ac:dyDescent="0.25">
      <c r="A38" t="s">
        <v>185</v>
      </c>
      <c r="B38" t="str">
        <f>_xlfn.IFNA(VLOOKUP(I38,WithCOI!A:B,2,FALSE),"No COI")</f>
        <v>With COI</v>
      </c>
      <c r="C38" t="str">
        <f>IF(_xlfn.IFNA(VLOOKUP(I38,WithITS2!A:A,1,FALSE),"None") = "None", "None","Yes")</f>
        <v>Yes</v>
      </c>
      <c r="D38" t="str">
        <f>IF(AND(B38="No COI",C38="Yes"),"Double check","OK")</f>
        <v>OK</v>
      </c>
      <c r="G38" t="s">
        <v>137</v>
      </c>
      <c r="H38" t="str">
        <f>G38</f>
        <v>Tc</v>
      </c>
      <c r="I38" t="s">
        <v>186</v>
      </c>
      <c r="J38" t="s">
        <v>186</v>
      </c>
      <c r="K38" t="s">
        <v>19</v>
      </c>
      <c r="L38" t="s">
        <v>20</v>
      </c>
      <c r="M38" t="s">
        <v>187</v>
      </c>
      <c r="N38" t="s">
        <v>188</v>
      </c>
      <c r="O38" t="s">
        <v>167</v>
      </c>
      <c r="P38" t="s">
        <v>168</v>
      </c>
      <c r="Q38">
        <v>15.529866699999999</v>
      </c>
      <c r="R38">
        <v>119.92481669999999</v>
      </c>
    </row>
    <row r="39" spans="1:18" x14ac:dyDescent="0.25">
      <c r="A39" t="s">
        <v>189</v>
      </c>
      <c r="B39" t="str">
        <f>_xlfn.IFNA(VLOOKUP(I39,WithCOI!A:B,2,FALSE),"No COI")</f>
        <v>With COI</v>
      </c>
      <c r="C39" t="str">
        <f>IF(_xlfn.IFNA(VLOOKUP(I39,WithITS2!A:A,1,FALSE),"None") = "None", "None","Yes")</f>
        <v>Yes</v>
      </c>
      <c r="D39" t="str">
        <f>IF(AND(B39="No COI",C39="Yes"),"Double check","OK")</f>
        <v>OK</v>
      </c>
      <c r="G39" t="s">
        <v>137</v>
      </c>
      <c r="H39" t="str">
        <f>G39</f>
        <v>Tc</v>
      </c>
      <c r="I39" t="s">
        <v>190</v>
      </c>
      <c r="J39" t="s">
        <v>190</v>
      </c>
      <c r="K39" t="s">
        <v>19</v>
      </c>
      <c r="L39" t="s">
        <v>28</v>
      </c>
      <c r="M39" t="s">
        <v>191</v>
      </c>
      <c r="N39" t="s">
        <v>192</v>
      </c>
      <c r="O39" t="s">
        <v>193</v>
      </c>
      <c r="P39" t="s">
        <v>32</v>
      </c>
      <c r="Q39">
        <v>12.661616670000001</v>
      </c>
      <c r="R39">
        <v>120.41678330000001</v>
      </c>
    </row>
    <row r="40" spans="1:18" x14ac:dyDescent="0.25">
      <c r="A40" t="s">
        <v>194</v>
      </c>
      <c r="B40" t="str">
        <f>_xlfn.IFNA(VLOOKUP(I40,WithCOI!A:B,2,FALSE),"No COI")</f>
        <v>With COI</v>
      </c>
      <c r="C40" t="str">
        <f>IF(_xlfn.IFNA(VLOOKUP(I40,WithITS2!A:A,1,FALSE),"None") = "None", "None","Yes")</f>
        <v>Yes</v>
      </c>
      <c r="D40" t="str">
        <f>IF(AND(B40="No COI",C40="Yes"),"Double check","OK")</f>
        <v>OK</v>
      </c>
      <c r="G40" t="s">
        <v>137</v>
      </c>
      <c r="H40" t="str">
        <f>G40</f>
        <v>Tc</v>
      </c>
      <c r="I40" t="s">
        <v>195</v>
      </c>
      <c r="J40" t="s">
        <v>195</v>
      </c>
      <c r="K40" t="s">
        <v>19</v>
      </c>
      <c r="L40" t="s">
        <v>28</v>
      </c>
      <c r="M40" t="s">
        <v>196</v>
      </c>
      <c r="N40" t="s">
        <v>197</v>
      </c>
      <c r="O40" t="s">
        <v>193</v>
      </c>
      <c r="P40" t="s">
        <v>32</v>
      </c>
      <c r="Q40">
        <v>12.661616670000001</v>
      </c>
      <c r="R40">
        <v>120.41678330000001</v>
      </c>
    </row>
    <row r="41" spans="1:18" x14ac:dyDescent="0.25">
      <c r="A41" t="s">
        <v>198</v>
      </c>
      <c r="B41" t="str">
        <f>_xlfn.IFNA(VLOOKUP(I41,WithCOI!A:B,2,FALSE),"No COI")</f>
        <v>With COI</v>
      </c>
      <c r="C41" t="str">
        <f>IF(_xlfn.IFNA(VLOOKUP(I41,WithITS2!A:A,1,FALSE),"None") = "None", "None","Yes")</f>
        <v>Yes</v>
      </c>
      <c r="D41" t="str">
        <f>IF(AND(B41="No COI",C41="Yes"),"Double check","OK")</f>
        <v>OK</v>
      </c>
      <c r="G41" t="s">
        <v>137</v>
      </c>
      <c r="H41" t="str">
        <f>G41</f>
        <v>Tc</v>
      </c>
      <c r="I41" t="s">
        <v>199</v>
      </c>
      <c r="J41" t="s">
        <v>199</v>
      </c>
      <c r="K41" t="s">
        <v>19</v>
      </c>
      <c r="L41" t="s">
        <v>28</v>
      </c>
      <c r="M41" t="s">
        <v>200</v>
      </c>
      <c r="N41" t="s">
        <v>201</v>
      </c>
      <c r="O41" t="s">
        <v>193</v>
      </c>
      <c r="P41" t="s">
        <v>32</v>
      </c>
      <c r="Q41">
        <v>12.661616670000001</v>
      </c>
      <c r="R41">
        <v>120.41678330000001</v>
      </c>
    </row>
    <row r="42" spans="1:18" x14ac:dyDescent="0.25">
      <c r="A42" t="s">
        <v>202</v>
      </c>
      <c r="B42" t="str">
        <f>_xlfn.IFNA(VLOOKUP(I42,WithCOI!A:B,2,FALSE),"No COI")</f>
        <v>With COI</v>
      </c>
      <c r="C42" t="str">
        <f>IF(_xlfn.IFNA(VLOOKUP(I42,WithITS2!A:A,1,FALSE),"None") = "None", "None","Yes")</f>
        <v>Yes</v>
      </c>
      <c r="D42" t="str">
        <f>IF(AND(B42="No COI",C42="Yes"),"Double check","OK")</f>
        <v>OK</v>
      </c>
      <c r="G42" t="s">
        <v>137</v>
      </c>
      <c r="H42" t="str">
        <f>G42</f>
        <v>Tc</v>
      </c>
      <c r="I42" t="s">
        <v>203</v>
      </c>
      <c r="J42" t="s">
        <v>203</v>
      </c>
      <c r="K42" t="s">
        <v>19</v>
      </c>
      <c r="L42" t="s">
        <v>28</v>
      </c>
      <c r="M42" t="s">
        <v>204</v>
      </c>
      <c r="N42" t="s">
        <v>205</v>
      </c>
      <c r="O42" t="s">
        <v>193</v>
      </c>
      <c r="P42" t="s">
        <v>32</v>
      </c>
      <c r="Q42">
        <v>12.661616670000001</v>
      </c>
      <c r="R42">
        <v>120.41678330000001</v>
      </c>
    </row>
    <row r="43" spans="1:18" x14ac:dyDescent="0.25">
      <c r="A43" t="s">
        <v>206</v>
      </c>
      <c r="B43" t="str">
        <f>_xlfn.IFNA(VLOOKUP(I43,WithCOI!A:B,2,FALSE),"No COI")</f>
        <v>With COI</v>
      </c>
      <c r="C43" t="str">
        <f>IF(_xlfn.IFNA(VLOOKUP(I43,WithITS2!A:A,1,FALSE),"None") = "None", "None","Yes")</f>
        <v>Yes</v>
      </c>
      <c r="D43" t="str">
        <f>IF(AND(B43="No COI",C43="Yes"),"Double check","OK")</f>
        <v>OK</v>
      </c>
      <c r="G43" t="s">
        <v>137</v>
      </c>
      <c r="H43" t="str">
        <f>G43</f>
        <v>Tc</v>
      </c>
      <c r="I43" t="s">
        <v>207</v>
      </c>
      <c r="J43" t="s">
        <v>207</v>
      </c>
      <c r="K43" t="s">
        <v>55</v>
      </c>
      <c r="L43" t="s">
        <v>56</v>
      </c>
      <c r="M43" t="s">
        <v>208</v>
      </c>
      <c r="N43" t="s">
        <v>209</v>
      </c>
      <c r="O43" t="s">
        <v>59</v>
      </c>
      <c r="P43" t="s">
        <v>59</v>
      </c>
      <c r="Q43">
        <v>9.6287333000000004</v>
      </c>
      <c r="R43">
        <v>123.8048167</v>
      </c>
    </row>
    <row r="44" spans="1:18" x14ac:dyDescent="0.25">
      <c r="A44" t="s">
        <v>210</v>
      </c>
      <c r="B44" t="str">
        <f>_xlfn.IFNA(VLOOKUP(I44,WithCOI!A:B,2,FALSE),"No COI")</f>
        <v>With COI</v>
      </c>
      <c r="C44" t="str">
        <f>IF(_xlfn.IFNA(VLOOKUP(I44,WithITS2!A:A,1,FALSE),"None") = "None", "None","Yes")</f>
        <v>Yes</v>
      </c>
      <c r="D44" t="str">
        <f>IF(AND(B44="No COI",C44="Yes"),"Double check","OK")</f>
        <v>OK</v>
      </c>
      <c r="G44" t="s">
        <v>137</v>
      </c>
      <c r="H44" t="str">
        <f>G44</f>
        <v>Tc</v>
      </c>
      <c r="I44" t="s">
        <v>211</v>
      </c>
      <c r="J44" t="s">
        <v>211</v>
      </c>
      <c r="K44" t="s">
        <v>55</v>
      </c>
      <c r="L44" t="s">
        <v>56</v>
      </c>
      <c r="M44" t="s">
        <v>212</v>
      </c>
      <c r="N44" t="s">
        <v>213</v>
      </c>
      <c r="O44" t="s">
        <v>59</v>
      </c>
      <c r="P44" t="s">
        <v>59</v>
      </c>
      <c r="Q44">
        <v>9.6287333000000004</v>
      </c>
      <c r="R44">
        <v>123.8048167</v>
      </c>
    </row>
    <row r="45" spans="1:18" x14ac:dyDescent="0.25">
      <c r="A45" t="s">
        <v>214</v>
      </c>
      <c r="B45" t="str">
        <f>_xlfn.IFNA(VLOOKUP(I45,WithCOI!A:B,2,FALSE),"No COI")</f>
        <v>With COI</v>
      </c>
      <c r="C45" t="str">
        <f>IF(_xlfn.IFNA(VLOOKUP(I45,WithITS2!A:A,1,FALSE),"None") = "None", "None","Yes")</f>
        <v>Yes</v>
      </c>
      <c r="D45" t="str">
        <f>IF(AND(B45="No COI",C45="Yes"),"Double check","OK")</f>
        <v>OK</v>
      </c>
      <c r="G45" t="s">
        <v>137</v>
      </c>
      <c r="H45" t="str">
        <f>G45</f>
        <v>Tc</v>
      </c>
      <c r="I45" t="s">
        <v>215</v>
      </c>
      <c r="J45" t="s">
        <v>215</v>
      </c>
      <c r="K45" t="s">
        <v>55</v>
      </c>
      <c r="L45" t="s">
        <v>56</v>
      </c>
      <c r="M45" t="s">
        <v>216</v>
      </c>
      <c r="N45" t="s">
        <v>217</v>
      </c>
      <c r="O45" t="s">
        <v>59</v>
      </c>
      <c r="P45" t="s">
        <v>59</v>
      </c>
      <c r="Q45">
        <v>9.6287333000000004</v>
      </c>
      <c r="R45">
        <v>123.8048167</v>
      </c>
    </row>
    <row r="46" spans="1:18" x14ac:dyDescent="0.25">
      <c r="A46" t="s">
        <v>218</v>
      </c>
      <c r="B46" t="str">
        <f>_xlfn.IFNA(VLOOKUP(I46,WithCOI!A:B,2,FALSE),"No COI")</f>
        <v>With COI</v>
      </c>
      <c r="C46" t="str">
        <f>IF(_xlfn.IFNA(VLOOKUP(I46,WithITS2!A:A,1,FALSE),"None") = "None", "None","Yes")</f>
        <v>Yes</v>
      </c>
      <c r="D46" t="str">
        <f>IF(AND(B46="No COI",C46="Yes"),"Double check","OK")</f>
        <v>OK</v>
      </c>
      <c r="G46" t="s">
        <v>137</v>
      </c>
      <c r="H46" t="str">
        <f>G46</f>
        <v>Tc</v>
      </c>
      <c r="I46" t="s">
        <v>219</v>
      </c>
      <c r="J46" t="s">
        <v>219</v>
      </c>
      <c r="K46" t="s">
        <v>55</v>
      </c>
      <c r="L46" t="s">
        <v>56</v>
      </c>
      <c r="M46" t="s">
        <v>220</v>
      </c>
      <c r="N46" t="s">
        <v>221</v>
      </c>
      <c r="O46" t="s">
        <v>72</v>
      </c>
      <c r="P46" t="s">
        <v>72</v>
      </c>
      <c r="Q46">
        <v>9.1074134390000001</v>
      </c>
      <c r="R46">
        <v>124.8032036</v>
      </c>
    </row>
    <row r="47" spans="1:18" x14ac:dyDescent="0.25">
      <c r="A47" t="s">
        <v>222</v>
      </c>
      <c r="B47" t="str">
        <f>_xlfn.IFNA(VLOOKUP(I47,WithCOI!A:B,2,FALSE),"No COI")</f>
        <v>With COI</v>
      </c>
      <c r="C47" t="str">
        <f>IF(_xlfn.IFNA(VLOOKUP(I47,WithITS2!A:A,1,FALSE),"None") = "None", "None","Yes")</f>
        <v>Yes</v>
      </c>
      <c r="D47" t="str">
        <f>IF(AND(B47="No COI",C47="Yes"),"Double check","OK")</f>
        <v>OK</v>
      </c>
      <c r="G47" t="s">
        <v>137</v>
      </c>
      <c r="H47" t="str">
        <f>G47</f>
        <v>Tc</v>
      </c>
      <c r="I47" t="s">
        <v>223</v>
      </c>
      <c r="J47" t="s">
        <v>223</v>
      </c>
      <c r="K47" t="s">
        <v>55</v>
      </c>
      <c r="L47" t="s">
        <v>56</v>
      </c>
      <c r="M47" t="s">
        <v>224</v>
      </c>
      <c r="N47" t="s">
        <v>225</v>
      </c>
      <c r="O47" t="s">
        <v>72</v>
      </c>
      <c r="P47" t="s">
        <v>72</v>
      </c>
      <c r="Q47">
        <v>9.1074134390000001</v>
      </c>
      <c r="R47">
        <v>124.8032036</v>
      </c>
    </row>
    <row r="48" spans="1:18" x14ac:dyDescent="0.25">
      <c r="A48" t="s">
        <v>226</v>
      </c>
      <c r="B48" t="str">
        <f>_xlfn.IFNA(VLOOKUP(I48,WithCOI!A:B,2,FALSE),"No COI")</f>
        <v>With COI</v>
      </c>
      <c r="C48" t="str">
        <f>IF(_xlfn.IFNA(VLOOKUP(I48,WithITS2!A:A,1,FALSE),"None") = "None", "None","Yes")</f>
        <v>Yes</v>
      </c>
      <c r="D48" t="str">
        <f>IF(AND(B48="No COI",C48="Yes"),"Double check","OK")</f>
        <v>OK</v>
      </c>
      <c r="G48" t="s">
        <v>137</v>
      </c>
      <c r="H48" t="str">
        <f>G48</f>
        <v>Tc</v>
      </c>
      <c r="I48" t="s">
        <v>227</v>
      </c>
      <c r="J48" t="s">
        <v>227</v>
      </c>
      <c r="K48" t="s">
        <v>55</v>
      </c>
      <c r="L48" t="s">
        <v>56</v>
      </c>
      <c r="M48" t="s">
        <v>228</v>
      </c>
      <c r="N48" t="s">
        <v>229</v>
      </c>
      <c r="O48" t="s">
        <v>72</v>
      </c>
      <c r="P48" t="s">
        <v>72</v>
      </c>
      <c r="Q48">
        <v>9.1074134390000001</v>
      </c>
      <c r="R48">
        <v>124.8032036</v>
      </c>
    </row>
    <row r="49" spans="1:18" x14ac:dyDescent="0.25">
      <c r="A49" t="s">
        <v>230</v>
      </c>
      <c r="B49" t="str">
        <f>_xlfn.IFNA(VLOOKUP(I49,WithCOI!A:B,2,FALSE),"No COI")</f>
        <v>With COI</v>
      </c>
      <c r="C49" t="str">
        <f>IF(_xlfn.IFNA(VLOOKUP(I49,WithITS2!A:A,1,FALSE),"None") = "None", "None","Yes")</f>
        <v>Yes</v>
      </c>
      <c r="D49" t="str">
        <f>IF(AND(B49="No COI",C49="Yes"),"Double check","OK")</f>
        <v>OK</v>
      </c>
      <c r="G49" t="s">
        <v>137</v>
      </c>
      <c r="H49" t="str">
        <f>G49</f>
        <v>Tc</v>
      </c>
      <c r="I49" t="s">
        <v>231</v>
      </c>
      <c r="J49" t="s">
        <v>231</v>
      </c>
      <c r="K49" t="s">
        <v>55</v>
      </c>
      <c r="L49" t="s">
        <v>56</v>
      </c>
      <c r="M49" t="s">
        <v>232</v>
      </c>
      <c r="N49" t="s">
        <v>233</v>
      </c>
      <c r="O49" t="s">
        <v>85</v>
      </c>
      <c r="P49" t="s">
        <v>86</v>
      </c>
      <c r="Q49">
        <v>11.058299999999999</v>
      </c>
      <c r="R49">
        <v>125.6537</v>
      </c>
    </row>
    <row r="50" spans="1:18" x14ac:dyDescent="0.25">
      <c r="A50" t="s">
        <v>234</v>
      </c>
      <c r="B50" t="str">
        <f>_xlfn.IFNA(VLOOKUP(I50,WithCOI!A:B,2,FALSE),"No COI")</f>
        <v>With COI</v>
      </c>
      <c r="C50" t="str">
        <f>IF(_xlfn.IFNA(VLOOKUP(I50,WithITS2!A:A,1,FALSE),"None") = "None", "None","Yes")</f>
        <v>Yes</v>
      </c>
      <c r="D50" t="str">
        <f>IF(AND(B50="No COI",C50="Yes"),"Double check","OK")</f>
        <v>OK</v>
      </c>
      <c r="G50" t="s">
        <v>137</v>
      </c>
      <c r="H50" t="str">
        <f>G50</f>
        <v>Tc</v>
      </c>
      <c r="I50" t="s">
        <v>235</v>
      </c>
      <c r="J50" t="s">
        <v>235</v>
      </c>
      <c r="K50" t="s">
        <v>55</v>
      </c>
      <c r="L50" t="s">
        <v>56</v>
      </c>
      <c r="M50" t="s">
        <v>236</v>
      </c>
      <c r="N50" t="s">
        <v>237</v>
      </c>
      <c r="O50" t="s">
        <v>85</v>
      </c>
      <c r="P50" t="s">
        <v>86</v>
      </c>
      <c r="Q50">
        <v>11.058299999999999</v>
      </c>
      <c r="R50">
        <v>125.6537</v>
      </c>
    </row>
    <row r="51" spans="1:18" x14ac:dyDescent="0.25">
      <c r="A51" t="s">
        <v>238</v>
      </c>
      <c r="B51" t="str">
        <f>_xlfn.IFNA(VLOOKUP(I51,WithCOI!A:B,2,FALSE),"No COI")</f>
        <v>With COI</v>
      </c>
      <c r="C51" t="str">
        <f>IF(_xlfn.IFNA(VLOOKUP(I51,WithITS2!A:A,1,FALSE),"None") = "None", "None","Yes")</f>
        <v>Yes</v>
      </c>
      <c r="D51" t="str">
        <f>IF(AND(B51="No COI",C51="Yes"),"Double check","OK")</f>
        <v>OK</v>
      </c>
      <c r="G51" t="s">
        <v>137</v>
      </c>
      <c r="H51" t="str">
        <f>G51</f>
        <v>Tc</v>
      </c>
      <c r="I51" t="s">
        <v>239</v>
      </c>
      <c r="J51" t="s">
        <v>239</v>
      </c>
      <c r="K51" t="s">
        <v>55</v>
      </c>
      <c r="L51" t="s">
        <v>56</v>
      </c>
      <c r="M51" t="s">
        <v>240</v>
      </c>
      <c r="N51" t="s">
        <v>241</v>
      </c>
      <c r="O51" t="s">
        <v>85</v>
      </c>
      <c r="P51" t="s">
        <v>86</v>
      </c>
      <c r="Q51">
        <v>11.058299999999999</v>
      </c>
      <c r="R51">
        <v>125.6537</v>
      </c>
    </row>
    <row r="52" spans="1:18" x14ac:dyDescent="0.25">
      <c r="A52" t="s">
        <v>242</v>
      </c>
      <c r="B52" t="str">
        <f>_xlfn.IFNA(VLOOKUP(I52,WithCOI!A:B,2,FALSE),"No COI")</f>
        <v>With COI</v>
      </c>
      <c r="C52" t="str">
        <f>IF(_xlfn.IFNA(VLOOKUP(I52,WithITS2!A:A,1,FALSE),"None") = "None", "None","Yes")</f>
        <v>Yes</v>
      </c>
      <c r="D52" t="str">
        <f>IF(AND(B52="No COI",C52="Yes"),"Double check","OK")</f>
        <v>OK</v>
      </c>
      <c r="G52" t="s">
        <v>137</v>
      </c>
      <c r="H52" t="str">
        <f>G52</f>
        <v>Tc</v>
      </c>
      <c r="I52" t="s">
        <v>243</v>
      </c>
      <c r="J52" t="s">
        <v>243</v>
      </c>
      <c r="K52" t="s">
        <v>55</v>
      </c>
      <c r="L52" t="s">
        <v>97</v>
      </c>
      <c r="M52" t="s">
        <v>244</v>
      </c>
      <c r="N52" t="s">
        <v>245</v>
      </c>
      <c r="O52" t="s">
        <v>246</v>
      </c>
      <c r="P52" t="s">
        <v>247</v>
      </c>
      <c r="Q52">
        <v>16.2218333</v>
      </c>
      <c r="R52">
        <v>120.0484167</v>
      </c>
    </row>
    <row r="53" spans="1:18" x14ac:dyDescent="0.25">
      <c r="A53" t="s">
        <v>248</v>
      </c>
      <c r="B53" t="str">
        <f>_xlfn.IFNA(VLOOKUP(I53,WithCOI!A:B,2,FALSE),"No COI")</f>
        <v>With COI</v>
      </c>
      <c r="C53" t="str">
        <f>IF(_xlfn.IFNA(VLOOKUP(I53,WithITS2!A:A,1,FALSE),"None") = "None", "None","Yes")</f>
        <v>Yes</v>
      </c>
      <c r="D53" t="str">
        <f>IF(AND(B53="No COI",C53="Yes"),"Double check","OK")</f>
        <v>OK</v>
      </c>
      <c r="G53" t="s">
        <v>137</v>
      </c>
      <c r="H53" t="str">
        <f>G53</f>
        <v>Tc</v>
      </c>
      <c r="I53" t="s">
        <v>249</v>
      </c>
      <c r="J53" t="s">
        <v>249</v>
      </c>
      <c r="K53" t="s">
        <v>55</v>
      </c>
      <c r="L53" t="s">
        <v>97</v>
      </c>
      <c r="M53" t="s">
        <v>250</v>
      </c>
      <c r="N53" t="s">
        <v>251</v>
      </c>
      <c r="O53" t="s">
        <v>246</v>
      </c>
      <c r="P53" t="s">
        <v>247</v>
      </c>
      <c r="Q53">
        <v>16.2218333</v>
      </c>
      <c r="R53">
        <v>120.0484167</v>
      </c>
    </row>
    <row r="54" spans="1:18" x14ac:dyDescent="0.25">
      <c r="A54" t="s">
        <v>252</v>
      </c>
      <c r="B54" t="str">
        <f>_xlfn.IFNA(VLOOKUP(I54,WithCOI!A:B,2,FALSE),"No COI")</f>
        <v>With COI</v>
      </c>
      <c r="C54" t="str">
        <f>IF(_xlfn.IFNA(VLOOKUP(I54,WithITS2!A:A,1,FALSE),"None") = "None", "None","Yes")</f>
        <v>Yes</v>
      </c>
      <c r="D54" t="str">
        <f>IF(AND(B54="No COI",C54="Yes"),"Double check","OK")</f>
        <v>OK</v>
      </c>
      <c r="G54" t="s">
        <v>137</v>
      </c>
      <c r="H54" t="str">
        <f>G54</f>
        <v>Tc</v>
      </c>
      <c r="I54" t="s">
        <v>253</v>
      </c>
      <c r="J54" t="s">
        <v>253</v>
      </c>
      <c r="K54" t="s">
        <v>55</v>
      </c>
      <c r="L54" t="s">
        <v>97</v>
      </c>
      <c r="M54" t="s">
        <v>254</v>
      </c>
      <c r="N54" t="s">
        <v>255</v>
      </c>
      <c r="O54" t="s">
        <v>246</v>
      </c>
      <c r="P54" t="s">
        <v>247</v>
      </c>
      <c r="Q54">
        <v>16.2218333</v>
      </c>
      <c r="R54">
        <v>120.0484167</v>
      </c>
    </row>
    <row r="55" spans="1:18" x14ac:dyDescent="0.25">
      <c r="A55" t="s">
        <v>256</v>
      </c>
      <c r="B55" t="str">
        <f>_xlfn.IFNA(VLOOKUP(I55,WithCOI!A:B,2,FALSE),"No COI")</f>
        <v>No COI</v>
      </c>
      <c r="C55" t="str">
        <f>IF(_xlfn.IFNA(VLOOKUP(I55,WithITS2!A:A,1,FALSE),"None") = "None", "None","Yes")</f>
        <v>None</v>
      </c>
      <c r="D55" t="str">
        <f>IF(AND(B55="No COI",C55="Yes"),"Double check","OK")</f>
        <v>OK</v>
      </c>
      <c r="G55" t="s">
        <v>260</v>
      </c>
      <c r="H55" t="str">
        <f>G55</f>
        <v>Td</v>
      </c>
      <c r="I55" t="s">
        <v>257</v>
      </c>
      <c r="J55" t="s">
        <v>257</v>
      </c>
      <c r="K55" t="s">
        <v>133</v>
      </c>
      <c r="L55" t="s">
        <v>134</v>
      </c>
      <c r="M55" t="s">
        <v>258</v>
      </c>
      <c r="N55" t="s">
        <v>259</v>
      </c>
      <c r="O55" t="s">
        <v>24</v>
      </c>
      <c r="P55" t="s">
        <v>25</v>
      </c>
      <c r="Q55">
        <v>12.08708129</v>
      </c>
      <c r="R55">
        <v>121.3460231</v>
      </c>
    </row>
    <row r="56" spans="1:18" x14ac:dyDescent="0.25">
      <c r="A56" t="s">
        <v>261</v>
      </c>
      <c r="B56" t="str">
        <f>_xlfn.IFNA(VLOOKUP(I56,WithCOI!A:B,2,FALSE),"No COI")</f>
        <v>No COI</v>
      </c>
      <c r="C56" t="str">
        <f>IF(_xlfn.IFNA(VLOOKUP(I56,WithITS2!A:A,1,FALSE),"None") = "None", "None","Yes")</f>
        <v>None</v>
      </c>
      <c r="D56" t="str">
        <f>IF(AND(B56="No COI",C56="Yes"),"Double check","OK")</f>
        <v>OK</v>
      </c>
      <c r="G56" t="s">
        <v>260</v>
      </c>
      <c r="H56" t="str">
        <f>G56</f>
        <v>Td</v>
      </c>
      <c r="I56" t="s">
        <v>262</v>
      </c>
      <c r="J56" t="s">
        <v>262</v>
      </c>
      <c r="K56" t="s">
        <v>133</v>
      </c>
      <c r="L56" t="s">
        <v>134</v>
      </c>
      <c r="M56" t="s">
        <v>263</v>
      </c>
      <c r="N56" t="s">
        <v>264</v>
      </c>
      <c r="O56" t="s">
        <v>24</v>
      </c>
      <c r="P56" t="s">
        <v>25</v>
      </c>
      <c r="Q56">
        <v>12.08708129</v>
      </c>
      <c r="R56">
        <v>121.3460231</v>
      </c>
    </row>
    <row r="57" spans="1:18" x14ac:dyDescent="0.25">
      <c r="A57" t="s">
        <v>265</v>
      </c>
      <c r="B57" t="str">
        <f>_xlfn.IFNA(VLOOKUP(I57,WithCOI!A:B,2,FALSE),"No COI")</f>
        <v>No COI</v>
      </c>
      <c r="C57" t="str">
        <f>IF(_xlfn.IFNA(VLOOKUP(I57,WithITS2!A:A,1,FALSE),"None") = "None", "None","Yes")</f>
        <v>None</v>
      </c>
      <c r="D57" t="str">
        <f>IF(AND(B57="No COI",C57="Yes"),"Double check","OK")</f>
        <v>OK</v>
      </c>
      <c r="G57" t="s">
        <v>260</v>
      </c>
      <c r="H57" t="str">
        <f>G57</f>
        <v>Td</v>
      </c>
      <c r="I57" t="s">
        <v>266</v>
      </c>
      <c r="J57" t="s">
        <v>266</v>
      </c>
      <c r="K57" t="s">
        <v>133</v>
      </c>
      <c r="L57" t="s">
        <v>134</v>
      </c>
      <c r="M57" t="s">
        <v>267</v>
      </c>
      <c r="N57" t="s">
        <v>268</v>
      </c>
      <c r="O57" t="s">
        <v>24</v>
      </c>
      <c r="P57" t="s">
        <v>25</v>
      </c>
      <c r="Q57">
        <v>12.08708129</v>
      </c>
      <c r="R57">
        <v>121.3460231</v>
      </c>
    </row>
    <row r="58" spans="1:18" x14ac:dyDescent="0.25">
      <c r="A58" t="s">
        <v>269</v>
      </c>
      <c r="B58" t="str">
        <f>_xlfn.IFNA(VLOOKUP(I58,WithCOI!A:B,2,FALSE),"No COI")</f>
        <v>No COI</v>
      </c>
      <c r="C58" t="str">
        <f>IF(_xlfn.IFNA(VLOOKUP(I58,WithITS2!A:A,1,FALSE),"None") = "None", "None","Yes")</f>
        <v>None</v>
      </c>
      <c r="D58" t="str">
        <f>IF(AND(B58="No COI",C58="Yes"),"Double check","OK")</f>
        <v>OK</v>
      </c>
      <c r="G58" t="s">
        <v>260</v>
      </c>
      <c r="H58" t="str">
        <f>G58</f>
        <v>Td</v>
      </c>
      <c r="I58" t="s">
        <v>270</v>
      </c>
      <c r="J58" t="s">
        <v>270</v>
      </c>
      <c r="K58" t="s">
        <v>133</v>
      </c>
      <c r="L58" t="s">
        <v>134</v>
      </c>
      <c r="M58" t="s">
        <v>271</v>
      </c>
      <c r="N58" t="s">
        <v>272</v>
      </c>
      <c r="O58" t="s">
        <v>100</v>
      </c>
      <c r="P58" t="s">
        <v>101</v>
      </c>
      <c r="Q58">
        <v>16.44411667</v>
      </c>
      <c r="R58">
        <v>119.92153329999999</v>
      </c>
    </row>
    <row r="59" spans="1:18" x14ac:dyDescent="0.25">
      <c r="A59" t="s">
        <v>273</v>
      </c>
      <c r="B59" t="str">
        <f>_xlfn.IFNA(VLOOKUP(I59,WithCOI!A:B,2,FALSE),"No COI")</f>
        <v>No COI</v>
      </c>
      <c r="C59" t="str">
        <f>IF(_xlfn.IFNA(VLOOKUP(I59,WithITS2!A:A,1,FALSE),"None") = "None", "None","Yes")</f>
        <v>None</v>
      </c>
      <c r="D59" t="str">
        <f>IF(AND(B59="No COI",C59="Yes"),"Double check","OK")</f>
        <v>OK</v>
      </c>
      <c r="G59" t="s">
        <v>260</v>
      </c>
      <c r="H59" t="str">
        <f>G59</f>
        <v>Td</v>
      </c>
      <c r="I59" t="s">
        <v>274</v>
      </c>
      <c r="J59" t="s">
        <v>274</v>
      </c>
      <c r="K59" t="s">
        <v>133</v>
      </c>
      <c r="L59" t="s">
        <v>134</v>
      </c>
      <c r="M59" t="s">
        <v>275</v>
      </c>
      <c r="N59" t="s">
        <v>276</v>
      </c>
      <c r="O59" t="s">
        <v>100</v>
      </c>
      <c r="P59" t="s">
        <v>101</v>
      </c>
      <c r="Q59">
        <v>16.44411667</v>
      </c>
      <c r="R59">
        <v>119.92153329999999</v>
      </c>
    </row>
    <row r="60" spans="1:18" x14ac:dyDescent="0.25">
      <c r="A60" t="s">
        <v>277</v>
      </c>
      <c r="B60" t="str">
        <f>_xlfn.IFNA(VLOOKUP(I60,WithCOI!A:B,2,FALSE),"No COI")</f>
        <v>No COI</v>
      </c>
      <c r="C60" t="str">
        <f>IF(_xlfn.IFNA(VLOOKUP(I60,WithITS2!A:A,1,FALSE),"None") = "None", "None","Yes")</f>
        <v>None</v>
      </c>
      <c r="D60" t="str">
        <f>IF(AND(B60="No COI",C60="Yes"),"Double check","OK")</f>
        <v>OK</v>
      </c>
      <c r="G60" t="s">
        <v>260</v>
      </c>
      <c r="H60" t="str">
        <f>G60</f>
        <v>Td</v>
      </c>
      <c r="I60" t="s">
        <v>278</v>
      </c>
      <c r="J60" t="s">
        <v>278</v>
      </c>
      <c r="K60" t="s">
        <v>133</v>
      </c>
      <c r="L60" t="s">
        <v>134</v>
      </c>
      <c r="M60" t="s">
        <v>279</v>
      </c>
      <c r="N60" t="s">
        <v>280</v>
      </c>
      <c r="O60" t="s">
        <v>100</v>
      </c>
      <c r="P60" t="s">
        <v>101</v>
      </c>
      <c r="Q60">
        <v>16.44411667</v>
      </c>
      <c r="R60">
        <v>119.92153329999999</v>
      </c>
    </row>
    <row r="61" spans="1:18" x14ac:dyDescent="0.25">
      <c r="A61" t="s">
        <v>281</v>
      </c>
      <c r="B61" t="str">
        <f>_xlfn.IFNA(VLOOKUP(I61,WithCOI!A:B,2,FALSE),"No COI")</f>
        <v>With COI</v>
      </c>
      <c r="C61" t="str">
        <f>IF(_xlfn.IFNA(VLOOKUP(I61,WithITS2!A:A,1,FALSE),"None") = "None", "None","Yes")</f>
        <v>Yes</v>
      </c>
      <c r="D61" t="str">
        <f>IF(AND(B61="No COI",C61="Yes"),"Double check","OK")</f>
        <v>OK</v>
      </c>
      <c r="G61" t="s">
        <v>260</v>
      </c>
      <c r="H61" t="str">
        <f>G61</f>
        <v>Td</v>
      </c>
      <c r="I61" t="s">
        <v>282</v>
      </c>
      <c r="J61" t="s">
        <v>282</v>
      </c>
      <c r="K61" t="s">
        <v>19</v>
      </c>
      <c r="L61" t="s">
        <v>20</v>
      </c>
      <c r="M61" t="s">
        <v>283</v>
      </c>
      <c r="N61" t="s">
        <v>284</v>
      </c>
      <c r="O61" t="s">
        <v>31</v>
      </c>
      <c r="P61" t="s">
        <v>32</v>
      </c>
      <c r="Q61">
        <v>12.661799999999999</v>
      </c>
      <c r="R61">
        <v>120.4357333</v>
      </c>
    </row>
    <row r="62" spans="1:18" x14ac:dyDescent="0.25">
      <c r="A62" t="s">
        <v>285</v>
      </c>
      <c r="B62" t="str">
        <f>_xlfn.IFNA(VLOOKUP(I62,WithCOI!A:B,2,FALSE),"No COI")</f>
        <v>With COI</v>
      </c>
      <c r="C62" t="str">
        <f>IF(_xlfn.IFNA(VLOOKUP(I62,WithITS2!A:A,1,FALSE),"None") = "None", "None","Yes")</f>
        <v>Yes</v>
      </c>
      <c r="D62" t="str">
        <f>IF(AND(B62="No COI",C62="Yes"),"Double check","OK")</f>
        <v>OK</v>
      </c>
      <c r="G62" t="s">
        <v>260</v>
      </c>
      <c r="H62" t="str">
        <f>G62</f>
        <v>Td</v>
      </c>
      <c r="I62" t="s">
        <v>286</v>
      </c>
      <c r="J62" t="s">
        <v>286</v>
      </c>
      <c r="K62" t="s">
        <v>19</v>
      </c>
      <c r="L62" t="s">
        <v>20</v>
      </c>
      <c r="M62" t="s">
        <v>287</v>
      </c>
      <c r="N62" t="s">
        <v>288</v>
      </c>
      <c r="O62" t="s">
        <v>289</v>
      </c>
      <c r="P62" t="s">
        <v>289</v>
      </c>
      <c r="Q62">
        <v>9.914205334</v>
      </c>
      <c r="R62">
        <v>118.877206</v>
      </c>
    </row>
    <row r="63" spans="1:18" x14ac:dyDescent="0.25">
      <c r="A63" t="s">
        <v>290</v>
      </c>
      <c r="B63" t="str">
        <f>_xlfn.IFNA(VLOOKUP(I63,WithCOI!A:B,2,FALSE),"No COI")</f>
        <v>With COI</v>
      </c>
      <c r="C63" t="str">
        <f>IF(_xlfn.IFNA(VLOOKUP(I63,WithITS2!A:A,1,FALSE),"None") = "None", "None","Yes")</f>
        <v>Yes</v>
      </c>
      <c r="D63" t="str">
        <f>IF(AND(B63="No COI",C63="Yes"),"Double check","OK")</f>
        <v>OK</v>
      </c>
      <c r="G63" t="s">
        <v>260</v>
      </c>
      <c r="H63" t="str">
        <f>G63</f>
        <v>Td</v>
      </c>
      <c r="I63" t="s">
        <v>291</v>
      </c>
      <c r="J63" t="s">
        <v>291</v>
      </c>
      <c r="K63" t="s">
        <v>19</v>
      </c>
      <c r="L63" t="s">
        <v>28</v>
      </c>
      <c r="M63" t="s">
        <v>292</v>
      </c>
      <c r="N63" t="s">
        <v>293</v>
      </c>
      <c r="O63" t="s">
        <v>31</v>
      </c>
      <c r="P63" t="s">
        <v>32</v>
      </c>
      <c r="Q63">
        <v>12.661799999999999</v>
      </c>
      <c r="R63">
        <v>120.4357333</v>
      </c>
    </row>
    <row r="64" spans="1:18" x14ac:dyDescent="0.25">
      <c r="A64" t="s">
        <v>294</v>
      </c>
      <c r="B64" t="str">
        <f>_xlfn.IFNA(VLOOKUP(I64,WithCOI!A:B,2,FALSE),"No COI")</f>
        <v>With COI</v>
      </c>
      <c r="C64" t="str">
        <f>IF(_xlfn.IFNA(VLOOKUP(I64,WithITS2!A:A,1,FALSE),"None") = "None", "None","Yes")</f>
        <v>Yes</v>
      </c>
      <c r="D64" t="str">
        <f>IF(AND(B64="No COI",C64="Yes"),"Double check","OK")</f>
        <v>OK</v>
      </c>
      <c r="G64" t="s">
        <v>260</v>
      </c>
      <c r="H64" t="str">
        <f>G64</f>
        <v>Td</v>
      </c>
      <c r="I64" t="s">
        <v>295</v>
      </c>
      <c r="J64" t="s">
        <v>295</v>
      </c>
      <c r="K64" t="s">
        <v>55</v>
      </c>
      <c r="L64" t="s">
        <v>56</v>
      </c>
      <c r="M64" t="s">
        <v>296</v>
      </c>
      <c r="N64" t="s">
        <v>297</v>
      </c>
      <c r="O64" t="s">
        <v>72</v>
      </c>
      <c r="P64" t="s">
        <v>72</v>
      </c>
      <c r="Q64">
        <v>9.1074134390000001</v>
      </c>
      <c r="R64">
        <v>124.8032036</v>
      </c>
    </row>
    <row r="65" spans="1:25" x14ac:dyDescent="0.25">
      <c r="A65" t="s">
        <v>298</v>
      </c>
      <c r="B65" t="str">
        <f>_xlfn.IFNA(VLOOKUP(I65,WithCOI!A:B,2,FALSE),"No COI")</f>
        <v>With COI</v>
      </c>
      <c r="C65" t="str">
        <f>IF(_xlfn.IFNA(VLOOKUP(I65,WithITS2!A:A,1,FALSE),"None") = "None", "None","Yes")</f>
        <v>Yes</v>
      </c>
      <c r="D65" t="str">
        <f>IF(AND(B65="No COI",C65="Yes"),"Double check","OK")</f>
        <v>OK</v>
      </c>
      <c r="G65" t="s">
        <v>260</v>
      </c>
      <c r="H65" t="str">
        <f>G65</f>
        <v>Td</v>
      </c>
      <c r="I65" t="s">
        <v>299</v>
      </c>
      <c r="J65" t="s">
        <v>299</v>
      </c>
      <c r="K65" t="s">
        <v>55</v>
      </c>
      <c r="L65" t="s">
        <v>56</v>
      </c>
      <c r="M65" t="s">
        <v>300</v>
      </c>
      <c r="N65" t="s">
        <v>301</v>
      </c>
      <c r="O65" t="s">
        <v>72</v>
      </c>
      <c r="P65" t="s">
        <v>72</v>
      </c>
      <c r="Q65">
        <v>9.1074134390000001</v>
      </c>
      <c r="R65">
        <v>124.8032036</v>
      </c>
    </row>
    <row r="66" spans="1:25" x14ac:dyDescent="0.25">
      <c r="A66" t="s">
        <v>302</v>
      </c>
      <c r="B66" t="str">
        <f>_xlfn.IFNA(VLOOKUP(I66,WithCOI!A:B,2,FALSE),"No COI")</f>
        <v>With COI</v>
      </c>
      <c r="C66" t="str">
        <f>IF(_xlfn.IFNA(VLOOKUP(I66,WithITS2!A:A,1,FALSE),"None") = "None", "None","Yes")</f>
        <v>Yes</v>
      </c>
      <c r="D66" t="str">
        <f>IF(AND(B66="No COI",C66="Yes"),"Double check","OK")</f>
        <v>OK</v>
      </c>
      <c r="G66" t="s">
        <v>260</v>
      </c>
      <c r="H66" t="str">
        <f>G66</f>
        <v>Td</v>
      </c>
      <c r="I66" t="s">
        <v>303</v>
      </c>
      <c r="J66" t="s">
        <v>303</v>
      </c>
      <c r="K66" t="s">
        <v>55</v>
      </c>
      <c r="L66" t="s">
        <v>56</v>
      </c>
      <c r="M66" t="s">
        <v>304</v>
      </c>
      <c r="N66" t="s">
        <v>305</v>
      </c>
      <c r="O66" t="s">
        <v>72</v>
      </c>
      <c r="P66" t="s">
        <v>72</v>
      </c>
      <c r="Q66">
        <v>9.1074134390000001</v>
      </c>
      <c r="R66">
        <v>124.8032036</v>
      </c>
    </row>
    <row r="67" spans="1:25" x14ac:dyDescent="0.25">
      <c r="A67" t="s">
        <v>306</v>
      </c>
      <c r="B67" t="str">
        <f>_xlfn.IFNA(VLOOKUP(I67,WithCOI!A:B,2,FALSE),"No COI")</f>
        <v>With COI</v>
      </c>
      <c r="C67" t="str">
        <f>IF(_xlfn.IFNA(VLOOKUP(I67,WithITS2!A:A,1,FALSE),"None") = "None", "None","Yes")</f>
        <v>Yes</v>
      </c>
      <c r="D67" t="str">
        <f>IF(AND(B67="No COI",C67="Yes"),"Double check","OK")</f>
        <v>OK</v>
      </c>
      <c r="G67" t="s">
        <v>260</v>
      </c>
      <c r="H67" t="str">
        <f>G67</f>
        <v>Td</v>
      </c>
      <c r="I67" t="s">
        <v>307</v>
      </c>
      <c r="J67" t="s">
        <v>307</v>
      </c>
      <c r="K67" t="s">
        <v>55</v>
      </c>
      <c r="L67" t="s">
        <v>56</v>
      </c>
      <c r="M67" t="s">
        <v>308</v>
      </c>
      <c r="N67" t="s">
        <v>309</v>
      </c>
      <c r="O67" t="s">
        <v>85</v>
      </c>
      <c r="P67" t="s">
        <v>86</v>
      </c>
      <c r="Q67">
        <v>11.058299999999999</v>
      </c>
      <c r="R67">
        <v>125.6537</v>
      </c>
    </row>
    <row r="68" spans="1:25" x14ac:dyDescent="0.25">
      <c r="A68" t="s">
        <v>310</v>
      </c>
      <c r="B68" t="str">
        <f>_xlfn.IFNA(VLOOKUP(I68,WithCOI!A:B,2,FALSE),"No COI")</f>
        <v>With COI</v>
      </c>
      <c r="C68" t="str">
        <f>IF(_xlfn.IFNA(VLOOKUP(I68,WithITS2!A:A,1,FALSE),"None") = "None", "None","Yes")</f>
        <v>Yes</v>
      </c>
      <c r="D68" t="str">
        <f>IF(AND(B68="No COI",C68="Yes"),"Double check","OK")</f>
        <v>OK</v>
      </c>
      <c r="G68" t="s">
        <v>260</v>
      </c>
      <c r="H68" t="str">
        <f>G68</f>
        <v>Td</v>
      </c>
      <c r="I68" t="s">
        <v>311</v>
      </c>
      <c r="J68" t="s">
        <v>311</v>
      </c>
      <c r="K68" t="s">
        <v>55</v>
      </c>
      <c r="L68" t="s">
        <v>56</v>
      </c>
      <c r="M68" t="s">
        <v>312</v>
      </c>
      <c r="N68" t="s">
        <v>313</v>
      </c>
      <c r="O68" t="s">
        <v>85</v>
      </c>
      <c r="P68" t="s">
        <v>86</v>
      </c>
      <c r="Q68">
        <v>11.058299999999999</v>
      </c>
      <c r="R68">
        <v>125.6537</v>
      </c>
    </row>
    <row r="69" spans="1:25" x14ac:dyDescent="0.25">
      <c r="A69" t="s">
        <v>314</v>
      </c>
      <c r="B69" t="str">
        <f>_xlfn.IFNA(VLOOKUP(I69,WithCOI!A:B,2,FALSE),"No COI")</f>
        <v>With COI</v>
      </c>
      <c r="C69" t="str">
        <f>IF(_xlfn.IFNA(VLOOKUP(I69,WithITS2!A:A,1,FALSE),"None") = "None", "None","Yes")</f>
        <v>Yes</v>
      </c>
      <c r="D69" t="str">
        <f>IF(AND(B69="No COI",C69="Yes"),"Double check","OK")</f>
        <v>OK</v>
      </c>
      <c r="G69" t="s">
        <v>260</v>
      </c>
      <c r="H69" t="str">
        <f>G69</f>
        <v>Td</v>
      </c>
      <c r="I69" t="s">
        <v>315</v>
      </c>
      <c r="J69" t="s">
        <v>315</v>
      </c>
      <c r="K69" t="s">
        <v>55</v>
      </c>
      <c r="L69" t="s">
        <v>56</v>
      </c>
      <c r="M69" t="s">
        <v>316</v>
      </c>
      <c r="N69" t="s">
        <v>317</v>
      </c>
      <c r="O69" t="s">
        <v>85</v>
      </c>
      <c r="P69" t="s">
        <v>86</v>
      </c>
      <c r="Q69">
        <v>11.058299999999999</v>
      </c>
      <c r="R69">
        <v>125.6537</v>
      </c>
    </row>
    <row r="70" spans="1:25" x14ac:dyDescent="0.25">
      <c r="A70" t="s">
        <v>318</v>
      </c>
      <c r="B70" t="str">
        <f>_xlfn.IFNA(VLOOKUP(I70,WithCOI!A:B,2,FALSE),"No COI")</f>
        <v>With COI</v>
      </c>
      <c r="C70" t="str">
        <f>IF(_xlfn.IFNA(VLOOKUP(I70,WithITS2!A:A,1,FALSE),"None") = "None", "None","Yes")</f>
        <v>Yes</v>
      </c>
      <c r="D70" t="str">
        <f>IF(AND(B70="No COI",C70="Yes"),"Double check","OK")</f>
        <v>OK</v>
      </c>
      <c r="G70" t="s">
        <v>260</v>
      </c>
      <c r="H70" t="str">
        <f>G70</f>
        <v>Td</v>
      </c>
      <c r="I70" t="s">
        <v>319</v>
      </c>
      <c r="J70" t="s">
        <v>319</v>
      </c>
      <c r="K70" t="s">
        <v>55</v>
      </c>
      <c r="L70" t="s">
        <v>97</v>
      </c>
      <c r="M70" t="s">
        <v>320</v>
      </c>
      <c r="N70" t="s">
        <v>321</v>
      </c>
      <c r="O70" t="s">
        <v>100</v>
      </c>
      <c r="P70" t="s">
        <v>101</v>
      </c>
      <c r="Q70">
        <v>16.44411667</v>
      </c>
      <c r="R70">
        <v>119.92153329999999</v>
      </c>
    </row>
    <row r="71" spans="1:25" x14ac:dyDescent="0.25">
      <c r="A71" t="s">
        <v>322</v>
      </c>
      <c r="B71" t="str">
        <f>_xlfn.IFNA(VLOOKUP(I71,WithCOI!A:B,2,FALSE),"No COI")</f>
        <v>With COI</v>
      </c>
      <c r="C71" t="str">
        <f>IF(_xlfn.IFNA(VLOOKUP(I71,WithITS2!A:A,1,FALSE),"None") = "None", "None","Yes")</f>
        <v>Yes</v>
      </c>
      <c r="D71" t="str">
        <f>IF(AND(B71="No COI",C71="Yes"),"Double check","OK")</f>
        <v>OK</v>
      </c>
      <c r="G71" t="s">
        <v>260</v>
      </c>
      <c r="H71" t="str">
        <f>G71</f>
        <v>Td</v>
      </c>
      <c r="I71" t="s">
        <v>323</v>
      </c>
      <c r="J71" t="s">
        <v>323</v>
      </c>
      <c r="K71" t="s">
        <v>55</v>
      </c>
      <c r="L71" t="s">
        <v>97</v>
      </c>
      <c r="M71" t="s">
        <v>324</v>
      </c>
      <c r="N71" t="s">
        <v>325</v>
      </c>
      <c r="O71" t="s">
        <v>100</v>
      </c>
      <c r="P71" t="s">
        <v>101</v>
      </c>
      <c r="Q71">
        <v>16.44411667</v>
      </c>
      <c r="R71">
        <v>119.92153329999999</v>
      </c>
    </row>
    <row r="72" spans="1:25" x14ac:dyDescent="0.25">
      <c r="A72" t="s">
        <v>326</v>
      </c>
      <c r="B72" t="str">
        <f>_xlfn.IFNA(VLOOKUP(I72,WithCOI!A:B,2,FALSE),"No COI")</f>
        <v>With COI</v>
      </c>
      <c r="C72" t="str">
        <f>IF(_xlfn.IFNA(VLOOKUP(I72,WithITS2!A:A,1,FALSE),"None") = "None", "None","Yes")</f>
        <v>Yes</v>
      </c>
      <c r="D72" t="str">
        <f>IF(AND(B72="No COI",C72="Yes"),"Double check","OK")</f>
        <v>OK</v>
      </c>
      <c r="G72" t="s">
        <v>260</v>
      </c>
      <c r="H72" t="str">
        <f>G72</f>
        <v>Td</v>
      </c>
      <c r="I72" t="s">
        <v>327</v>
      </c>
      <c r="J72" t="s">
        <v>327</v>
      </c>
      <c r="K72" t="s">
        <v>55</v>
      </c>
      <c r="L72" t="s">
        <v>97</v>
      </c>
      <c r="M72" t="s">
        <v>328</v>
      </c>
      <c r="N72" t="s">
        <v>329</v>
      </c>
      <c r="O72" t="s">
        <v>100</v>
      </c>
      <c r="P72" t="s">
        <v>101</v>
      </c>
      <c r="Q72">
        <v>16.44411667</v>
      </c>
      <c r="R72">
        <v>119.92153329999999</v>
      </c>
    </row>
    <row r="73" spans="1:25" x14ac:dyDescent="0.25">
      <c r="A73" t="s">
        <v>330</v>
      </c>
      <c r="B73" t="str">
        <f>_xlfn.IFNA(VLOOKUP(I73,WithCOI!A:B,2,FALSE),"No COI")</f>
        <v>No COI</v>
      </c>
      <c r="C73" t="str">
        <f>IF(_xlfn.IFNA(VLOOKUP(I73,WithITS2!A:A,1,FALSE),"None") = "None", "None","Yes")</f>
        <v>None</v>
      </c>
      <c r="D73" t="str">
        <f>IF(AND(B73="No COI",C73="Yes"),"Double check","OK")</f>
        <v>OK</v>
      </c>
      <c r="G73" t="s">
        <v>334</v>
      </c>
      <c r="H73" t="str">
        <f>G73</f>
        <v>Tg</v>
      </c>
      <c r="I73" t="s">
        <v>331</v>
      </c>
      <c r="J73" t="s">
        <v>331</v>
      </c>
      <c r="K73" t="s">
        <v>133</v>
      </c>
      <c r="L73" t="s">
        <v>134</v>
      </c>
      <c r="M73" t="s">
        <v>332</v>
      </c>
      <c r="N73" t="s">
        <v>333</v>
      </c>
      <c r="O73" t="s">
        <v>246</v>
      </c>
      <c r="P73" t="s">
        <v>247</v>
      </c>
      <c r="Q73">
        <v>16.2218333</v>
      </c>
      <c r="R73">
        <v>120.0484167</v>
      </c>
      <c r="S73">
        <v>80</v>
      </c>
      <c r="T73">
        <v>23</v>
      </c>
      <c r="U73">
        <v>1995</v>
      </c>
      <c r="V73">
        <v>1998</v>
      </c>
      <c r="W73">
        <v>20</v>
      </c>
      <c r="X73">
        <v>3</v>
      </c>
      <c r="Y73" t="s">
        <v>246</v>
      </c>
    </row>
    <row r="74" spans="1:25" x14ac:dyDescent="0.25">
      <c r="A74" t="s">
        <v>335</v>
      </c>
      <c r="B74" t="str">
        <f>_xlfn.IFNA(VLOOKUP(I74,WithCOI!A:B,2,FALSE),"No COI")</f>
        <v>No COI</v>
      </c>
      <c r="C74" t="str">
        <f>IF(_xlfn.IFNA(VLOOKUP(I74,WithITS2!A:A,1,FALSE),"None") = "None", "None","Yes")</f>
        <v>None</v>
      </c>
      <c r="D74" t="str">
        <f>IF(AND(B74="No COI",C74="Yes"),"Double check","OK")</f>
        <v>OK</v>
      </c>
      <c r="G74" t="s">
        <v>334</v>
      </c>
      <c r="H74" t="str">
        <f>G74</f>
        <v>Tg</v>
      </c>
      <c r="I74" t="s">
        <v>336</v>
      </c>
      <c r="J74" t="s">
        <v>336</v>
      </c>
      <c r="K74" t="s">
        <v>133</v>
      </c>
      <c r="L74" t="s">
        <v>134</v>
      </c>
      <c r="M74" t="s">
        <v>337</v>
      </c>
      <c r="N74" t="s">
        <v>338</v>
      </c>
      <c r="O74" t="s">
        <v>246</v>
      </c>
      <c r="P74" t="s">
        <v>247</v>
      </c>
      <c r="Q74">
        <v>16.2218333</v>
      </c>
      <c r="R74">
        <v>120.0484167</v>
      </c>
      <c r="S74">
        <v>71</v>
      </c>
      <c r="T74">
        <v>23</v>
      </c>
      <c r="U74">
        <v>1995</v>
      </c>
      <c r="V74">
        <v>1998</v>
      </c>
      <c r="W74">
        <v>20</v>
      </c>
      <c r="X74">
        <v>3</v>
      </c>
      <c r="Y74" t="s">
        <v>246</v>
      </c>
    </row>
    <row r="75" spans="1:25" x14ac:dyDescent="0.25">
      <c r="A75" t="s">
        <v>339</v>
      </c>
      <c r="B75" t="str">
        <f>_xlfn.IFNA(VLOOKUP(I75,WithCOI!A:B,2,FALSE),"No COI")</f>
        <v>No COI</v>
      </c>
      <c r="C75" t="str">
        <f>IF(_xlfn.IFNA(VLOOKUP(I75,WithITS2!A:A,1,FALSE),"None") = "None", "None","Yes")</f>
        <v>None</v>
      </c>
      <c r="D75" t="str">
        <f>IF(AND(B75="No COI",C75="Yes"),"Double check","OK")</f>
        <v>OK</v>
      </c>
      <c r="G75" t="s">
        <v>334</v>
      </c>
      <c r="H75" t="str">
        <f>G75</f>
        <v>Tg</v>
      </c>
      <c r="I75" t="s">
        <v>340</v>
      </c>
      <c r="J75" t="s">
        <v>340</v>
      </c>
      <c r="K75" t="s">
        <v>133</v>
      </c>
      <c r="L75" t="s">
        <v>134</v>
      </c>
      <c r="M75" t="s">
        <v>341</v>
      </c>
      <c r="N75" t="s">
        <v>342</v>
      </c>
      <c r="O75" t="s">
        <v>246</v>
      </c>
      <c r="P75" t="s">
        <v>247</v>
      </c>
      <c r="Q75">
        <v>16.2218333</v>
      </c>
      <c r="R75">
        <v>120.0484167</v>
      </c>
      <c r="S75">
        <v>90</v>
      </c>
      <c r="T75">
        <v>23</v>
      </c>
      <c r="U75">
        <v>1995</v>
      </c>
      <c r="V75">
        <v>1998</v>
      </c>
      <c r="W75">
        <v>20</v>
      </c>
      <c r="X75">
        <v>3</v>
      </c>
      <c r="Y75" t="s">
        <v>246</v>
      </c>
    </row>
    <row r="76" spans="1:25" x14ac:dyDescent="0.25">
      <c r="A76" t="s">
        <v>343</v>
      </c>
      <c r="B76" t="str">
        <f>_xlfn.IFNA(VLOOKUP(I76,WithCOI!A:B,2,FALSE),"No COI")</f>
        <v>No COI</v>
      </c>
      <c r="C76" t="str">
        <f>IF(_xlfn.IFNA(VLOOKUP(I76,WithITS2!A:A,1,FALSE),"None") = "None", "None","Yes")</f>
        <v>None</v>
      </c>
      <c r="D76" t="str">
        <f>IF(AND(B76="No COI",C76="Yes"),"Double check","OK")</f>
        <v>OK</v>
      </c>
      <c r="G76" t="s">
        <v>334</v>
      </c>
      <c r="H76" t="str">
        <f>G76</f>
        <v>Tg</v>
      </c>
      <c r="I76" t="s">
        <v>344</v>
      </c>
      <c r="J76" t="s">
        <v>344</v>
      </c>
      <c r="K76" t="s">
        <v>133</v>
      </c>
      <c r="L76" t="s">
        <v>134</v>
      </c>
      <c r="M76" t="s">
        <v>345</v>
      </c>
      <c r="N76" t="s">
        <v>346</v>
      </c>
      <c r="O76" t="s">
        <v>246</v>
      </c>
      <c r="P76" t="s">
        <v>247</v>
      </c>
      <c r="Q76">
        <v>16.2218333</v>
      </c>
      <c r="R76">
        <v>120.0484167</v>
      </c>
      <c r="S76">
        <v>71</v>
      </c>
      <c r="T76">
        <v>23</v>
      </c>
      <c r="U76">
        <v>1995</v>
      </c>
      <c r="V76">
        <v>1998</v>
      </c>
      <c r="W76">
        <v>20</v>
      </c>
      <c r="X76">
        <v>3</v>
      </c>
      <c r="Y76" t="s">
        <v>246</v>
      </c>
    </row>
    <row r="77" spans="1:25" x14ac:dyDescent="0.25">
      <c r="A77" t="s">
        <v>347</v>
      </c>
      <c r="B77" t="str">
        <f>_xlfn.IFNA(VLOOKUP(I77,WithCOI!A:B,2,FALSE),"No COI")</f>
        <v>No COI</v>
      </c>
      <c r="C77" t="str">
        <f>IF(_xlfn.IFNA(VLOOKUP(I77,WithITS2!A:A,1,FALSE),"None") = "None", "None","Yes")</f>
        <v>None</v>
      </c>
      <c r="D77" t="str">
        <f>IF(AND(B77="No COI",C77="Yes"),"Double check","OK")</f>
        <v>OK</v>
      </c>
      <c r="G77" t="s">
        <v>334</v>
      </c>
      <c r="H77" t="str">
        <f>G77</f>
        <v>Tg</v>
      </c>
      <c r="I77" t="s">
        <v>348</v>
      </c>
      <c r="J77" t="s">
        <v>348</v>
      </c>
      <c r="K77" t="s">
        <v>133</v>
      </c>
      <c r="L77" t="s">
        <v>134</v>
      </c>
      <c r="M77" t="s">
        <v>349</v>
      </c>
      <c r="N77" t="s">
        <v>350</v>
      </c>
      <c r="O77" t="s">
        <v>351</v>
      </c>
      <c r="P77" t="s">
        <v>352</v>
      </c>
      <c r="Q77">
        <v>13.68765</v>
      </c>
      <c r="R77">
        <v>120.88979999999999</v>
      </c>
      <c r="S77">
        <v>64</v>
      </c>
      <c r="T77">
        <v>28</v>
      </c>
      <c r="U77">
        <v>1990</v>
      </c>
      <c r="V77">
        <v>1996</v>
      </c>
      <c r="W77">
        <v>22</v>
      </c>
      <c r="X77">
        <v>6</v>
      </c>
      <c r="Y77" t="s">
        <v>353</v>
      </c>
    </row>
    <row r="78" spans="1:25" x14ac:dyDescent="0.25">
      <c r="A78" t="s">
        <v>354</v>
      </c>
      <c r="B78" t="str">
        <f>_xlfn.IFNA(VLOOKUP(I78,WithCOI!A:B,2,FALSE),"No COI")</f>
        <v>No COI</v>
      </c>
      <c r="C78" t="str">
        <f>IF(_xlfn.IFNA(VLOOKUP(I78,WithITS2!A:A,1,FALSE),"None") = "None", "None","Yes")</f>
        <v>None</v>
      </c>
      <c r="D78" t="str">
        <f>IF(AND(B78="No COI",C78="Yes"),"Double check","OK")</f>
        <v>OK</v>
      </c>
      <c r="G78" t="s">
        <v>334</v>
      </c>
      <c r="H78" t="str">
        <f>G78</f>
        <v>Tg</v>
      </c>
      <c r="I78" t="s">
        <v>355</v>
      </c>
      <c r="J78" t="s">
        <v>355</v>
      </c>
      <c r="K78" t="s">
        <v>133</v>
      </c>
      <c r="L78" t="s">
        <v>134</v>
      </c>
      <c r="M78" t="s">
        <v>356</v>
      </c>
      <c r="N78" t="s">
        <v>357</v>
      </c>
      <c r="O78" t="s">
        <v>351</v>
      </c>
      <c r="P78" t="s">
        <v>352</v>
      </c>
      <c r="Q78">
        <v>13.68765</v>
      </c>
      <c r="R78">
        <v>120.88979999999999</v>
      </c>
      <c r="S78">
        <v>71</v>
      </c>
      <c r="T78">
        <v>28</v>
      </c>
      <c r="U78">
        <v>1990</v>
      </c>
      <c r="V78">
        <v>1996</v>
      </c>
      <c r="W78">
        <v>22</v>
      </c>
      <c r="X78">
        <v>6</v>
      </c>
      <c r="Y78" t="s">
        <v>353</v>
      </c>
    </row>
    <row r="79" spans="1:25" x14ac:dyDescent="0.25">
      <c r="A79" t="s">
        <v>358</v>
      </c>
      <c r="B79" t="str">
        <f>_xlfn.IFNA(VLOOKUP(I79,WithCOI!A:B,2,FALSE),"No COI")</f>
        <v>No COI</v>
      </c>
      <c r="C79" t="str">
        <f>IF(_xlfn.IFNA(VLOOKUP(I79,WithITS2!A:A,1,FALSE),"None") = "None", "None","Yes")</f>
        <v>None</v>
      </c>
      <c r="D79" t="str">
        <f>IF(AND(B79="No COI",C79="Yes"),"Double check","OK")</f>
        <v>OK</v>
      </c>
      <c r="G79" t="s">
        <v>334</v>
      </c>
      <c r="H79" t="str">
        <f>G79</f>
        <v>Tg</v>
      </c>
      <c r="I79" t="s">
        <v>359</v>
      </c>
      <c r="J79" t="s">
        <v>359</v>
      </c>
      <c r="K79" t="s">
        <v>133</v>
      </c>
      <c r="L79" t="s">
        <v>134</v>
      </c>
      <c r="M79" t="s">
        <v>360</v>
      </c>
      <c r="N79" t="s">
        <v>361</v>
      </c>
      <c r="O79" t="s">
        <v>351</v>
      </c>
      <c r="P79" t="s">
        <v>352</v>
      </c>
      <c r="Q79">
        <v>13.68765</v>
      </c>
      <c r="R79">
        <v>120.88979999999999</v>
      </c>
      <c r="S79">
        <v>89</v>
      </c>
      <c r="T79">
        <v>28</v>
      </c>
      <c r="U79">
        <v>1990</v>
      </c>
      <c r="V79">
        <v>1996</v>
      </c>
      <c r="W79">
        <v>22</v>
      </c>
      <c r="X79">
        <v>6</v>
      </c>
      <c r="Y79" t="s">
        <v>353</v>
      </c>
    </row>
    <row r="80" spans="1:25" x14ac:dyDescent="0.25">
      <c r="A80" t="s">
        <v>362</v>
      </c>
      <c r="B80" t="str">
        <f>_xlfn.IFNA(VLOOKUP(I80,WithCOI!A:B,2,FALSE),"No COI")</f>
        <v>No COI</v>
      </c>
      <c r="C80" t="str">
        <f>IF(_xlfn.IFNA(VLOOKUP(I80,WithITS2!A:A,1,FALSE),"None") = "None", "None","Yes")</f>
        <v>None</v>
      </c>
      <c r="D80" t="str">
        <f>IF(AND(B80="No COI",C80="Yes"),"Double check","OK")</f>
        <v>OK</v>
      </c>
      <c r="G80" t="s">
        <v>334</v>
      </c>
      <c r="H80" t="str">
        <f>G80</f>
        <v>Tg</v>
      </c>
      <c r="I80" t="s">
        <v>363</v>
      </c>
      <c r="J80" t="s">
        <v>363</v>
      </c>
      <c r="K80" t="s">
        <v>133</v>
      </c>
      <c r="L80" t="s">
        <v>134</v>
      </c>
      <c r="M80" t="s">
        <v>364</v>
      </c>
      <c r="N80" t="s">
        <v>365</v>
      </c>
      <c r="O80" t="s">
        <v>167</v>
      </c>
      <c r="P80" t="s">
        <v>168</v>
      </c>
      <c r="Q80">
        <v>15.529866699999999</v>
      </c>
      <c r="R80">
        <v>119.92481669999999</v>
      </c>
      <c r="S80">
        <v>61</v>
      </c>
      <c r="T80">
        <v>16</v>
      </c>
      <c r="U80">
        <v>2002</v>
      </c>
      <c r="V80">
        <v>2007</v>
      </c>
      <c r="W80">
        <v>11</v>
      </c>
      <c r="X80">
        <v>5</v>
      </c>
      <c r="Y80" t="s">
        <v>366</v>
      </c>
    </row>
    <row r="81" spans="1:25" x14ac:dyDescent="0.25">
      <c r="A81" t="s">
        <v>367</v>
      </c>
      <c r="B81" t="str">
        <f>_xlfn.IFNA(VLOOKUP(I81,WithCOI!A:B,2,FALSE),"No COI")</f>
        <v>No COI</v>
      </c>
      <c r="C81" t="str">
        <f>IF(_xlfn.IFNA(VLOOKUP(I81,WithITS2!A:A,1,FALSE),"None") = "None", "None","Yes")</f>
        <v>None</v>
      </c>
      <c r="D81" t="str">
        <f>IF(AND(B81="No COI",C81="Yes"),"Double check","OK")</f>
        <v>OK</v>
      </c>
      <c r="G81" t="s">
        <v>334</v>
      </c>
      <c r="H81" t="str">
        <f>G81</f>
        <v>Tg</v>
      </c>
      <c r="I81" t="s">
        <v>368</v>
      </c>
      <c r="J81" t="s">
        <v>368</v>
      </c>
      <c r="K81" t="s">
        <v>133</v>
      </c>
      <c r="L81" t="s">
        <v>134</v>
      </c>
      <c r="M81" t="s">
        <v>369</v>
      </c>
      <c r="N81" t="s">
        <v>370</v>
      </c>
      <c r="O81" t="s">
        <v>167</v>
      </c>
      <c r="P81" t="s">
        <v>168</v>
      </c>
      <c r="Q81">
        <v>15.529866699999999</v>
      </c>
      <c r="R81">
        <v>119.92481669999999</v>
      </c>
      <c r="S81">
        <v>65</v>
      </c>
      <c r="T81">
        <v>16</v>
      </c>
      <c r="U81">
        <v>2002</v>
      </c>
      <c r="V81">
        <v>2007</v>
      </c>
      <c r="W81">
        <v>11</v>
      </c>
      <c r="X81">
        <v>5</v>
      </c>
      <c r="Y81" t="s">
        <v>366</v>
      </c>
    </row>
    <row r="82" spans="1:25" x14ac:dyDescent="0.25">
      <c r="A82" t="s">
        <v>371</v>
      </c>
      <c r="B82" t="str">
        <f>_xlfn.IFNA(VLOOKUP(I82,WithCOI!A:B,2,FALSE),"No COI")</f>
        <v>No COI</v>
      </c>
      <c r="C82" t="str">
        <f>IF(_xlfn.IFNA(VLOOKUP(I82,WithITS2!A:A,1,FALSE),"None") = "None", "None","Yes")</f>
        <v>None</v>
      </c>
      <c r="D82" t="str">
        <f>IF(AND(B82="No COI",C82="Yes"),"Double check","OK")</f>
        <v>OK</v>
      </c>
      <c r="G82" t="s">
        <v>334</v>
      </c>
      <c r="H82" t="str">
        <f>G82</f>
        <v>Tg</v>
      </c>
      <c r="I82" t="s">
        <v>372</v>
      </c>
      <c r="J82" t="s">
        <v>372</v>
      </c>
      <c r="K82" t="s">
        <v>133</v>
      </c>
      <c r="L82" t="s">
        <v>134</v>
      </c>
      <c r="M82" t="s">
        <v>373</v>
      </c>
      <c r="N82" t="s">
        <v>374</v>
      </c>
      <c r="O82" t="s">
        <v>167</v>
      </c>
      <c r="P82" t="s">
        <v>168</v>
      </c>
      <c r="Q82">
        <v>15.529866699999999</v>
      </c>
      <c r="R82">
        <v>119.92481669999999</v>
      </c>
      <c r="S82">
        <v>69</v>
      </c>
      <c r="T82">
        <v>16</v>
      </c>
      <c r="U82">
        <v>2002</v>
      </c>
      <c r="V82">
        <v>2007</v>
      </c>
      <c r="W82">
        <v>11</v>
      </c>
      <c r="X82">
        <v>5</v>
      </c>
      <c r="Y82" t="s">
        <v>366</v>
      </c>
    </row>
    <row r="83" spans="1:25" x14ac:dyDescent="0.25">
      <c r="A83" t="s">
        <v>375</v>
      </c>
      <c r="B83" t="str">
        <f>_xlfn.IFNA(VLOOKUP(I83,WithCOI!A:B,2,FALSE),"No COI")</f>
        <v>No COI</v>
      </c>
      <c r="C83" t="str">
        <f>IF(_xlfn.IFNA(VLOOKUP(I83,WithITS2!A:A,1,FALSE),"None") = "None", "None","Yes")</f>
        <v>None</v>
      </c>
      <c r="D83" t="str">
        <f>IF(AND(B83="No COI",C83="Yes"),"Double check","OK")</f>
        <v>OK</v>
      </c>
      <c r="G83" t="s">
        <v>334</v>
      </c>
      <c r="H83" t="str">
        <f>G83</f>
        <v>Tg</v>
      </c>
      <c r="I83" t="s">
        <v>376</v>
      </c>
      <c r="J83" t="s">
        <v>376</v>
      </c>
      <c r="K83" t="s">
        <v>133</v>
      </c>
      <c r="L83" t="s">
        <v>134</v>
      </c>
      <c r="M83" t="s">
        <v>377</v>
      </c>
      <c r="N83" t="s">
        <v>378</v>
      </c>
      <c r="O83" t="s">
        <v>24</v>
      </c>
      <c r="P83" t="s">
        <v>25</v>
      </c>
      <c r="Q83">
        <v>12.08708129</v>
      </c>
      <c r="R83">
        <v>121.3460231</v>
      </c>
      <c r="S83">
        <v>68</v>
      </c>
      <c r="T83">
        <v>16</v>
      </c>
      <c r="U83">
        <v>2002</v>
      </c>
      <c r="V83">
        <v>2009</v>
      </c>
      <c r="W83">
        <v>9</v>
      </c>
      <c r="X83">
        <v>7</v>
      </c>
      <c r="Y83" t="s">
        <v>379</v>
      </c>
    </row>
    <row r="84" spans="1:25" x14ac:dyDescent="0.25">
      <c r="A84" t="s">
        <v>380</v>
      </c>
      <c r="B84" t="str">
        <f>_xlfn.IFNA(VLOOKUP(I84,WithCOI!A:B,2,FALSE),"No COI")</f>
        <v>No COI</v>
      </c>
      <c r="C84" t="str">
        <f>IF(_xlfn.IFNA(VLOOKUP(I84,WithITS2!A:A,1,FALSE),"None") = "None", "None","Yes")</f>
        <v>None</v>
      </c>
      <c r="D84" t="str">
        <f>IF(AND(B84="No COI",C84="Yes"),"Double check","OK")</f>
        <v>OK</v>
      </c>
      <c r="G84" t="s">
        <v>334</v>
      </c>
      <c r="H84" t="str">
        <f>G84</f>
        <v>Tg</v>
      </c>
      <c r="I84" t="s">
        <v>381</v>
      </c>
      <c r="J84" t="s">
        <v>381</v>
      </c>
      <c r="K84" t="s">
        <v>133</v>
      </c>
      <c r="L84" t="s">
        <v>134</v>
      </c>
      <c r="M84" t="s">
        <v>382</v>
      </c>
      <c r="N84" t="s">
        <v>383</v>
      </c>
      <c r="O84" t="s">
        <v>24</v>
      </c>
      <c r="P84" t="s">
        <v>25</v>
      </c>
      <c r="Q84">
        <v>12.08708129</v>
      </c>
      <c r="R84">
        <v>121.3460231</v>
      </c>
      <c r="S84">
        <v>58</v>
      </c>
      <c r="T84">
        <v>16</v>
      </c>
      <c r="U84">
        <v>2002</v>
      </c>
      <c r="V84">
        <v>2009</v>
      </c>
      <c r="W84">
        <v>9</v>
      </c>
      <c r="X84">
        <v>7</v>
      </c>
      <c r="Y84" t="s">
        <v>379</v>
      </c>
    </row>
    <row r="85" spans="1:25" x14ac:dyDescent="0.25">
      <c r="A85" t="s">
        <v>384</v>
      </c>
      <c r="B85" t="str">
        <f>_xlfn.IFNA(VLOOKUP(I85,WithCOI!A:B,2,FALSE),"No COI")</f>
        <v>No COI</v>
      </c>
      <c r="C85" t="str">
        <f>IF(_xlfn.IFNA(VLOOKUP(I85,WithITS2!A:A,1,FALSE),"None") = "None", "None","Yes")</f>
        <v>None</v>
      </c>
      <c r="D85" t="str">
        <f>IF(AND(B85="No COI",C85="Yes"),"Double check","OK")</f>
        <v>OK</v>
      </c>
      <c r="G85" t="s">
        <v>334</v>
      </c>
      <c r="H85" t="str">
        <f>G85</f>
        <v>Tg</v>
      </c>
      <c r="I85" t="s">
        <v>385</v>
      </c>
      <c r="J85" t="s">
        <v>385</v>
      </c>
      <c r="K85" t="s">
        <v>133</v>
      </c>
      <c r="L85" t="s">
        <v>134</v>
      </c>
      <c r="M85" t="s">
        <v>386</v>
      </c>
      <c r="N85" t="s">
        <v>387</v>
      </c>
      <c r="O85" t="s">
        <v>24</v>
      </c>
      <c r="P85" t="s">
        <v>25</v>
      </c>
      <c r="Q85">
        <v>12.08708129</v>
      </c>
      <c r="R85">
        <v>121.3460231</v>
      </c>
      <c r="S85">
        <v>69</v>
      </c>
      <c r="T85">
        <v>16</v>
      </c>
      <c r="U85">
        <v>2002</v>
      </c>
      <c r="V85">
        <v>2009</v>
      </c>
      <c r="W85">
        <v>9</v>
      </c>
      <c r="X85">
        <v>7</v>
      </c>
      <c r="Y85" t="s">
        <v>379</v>
      </c>
    </row>
    <row r="86" spans="1:25" x14ac:dyDescent="0.25">
      <c r="A86" t="s">
        <v>388</v>
      </c>
      <c r="B86" t="str">
        <f>_xlfn.IFNA(VLOOKUP(I86,WithCOI!A:B,2,FALSE),"No COI")</f>
        <v>No COI</v>
      </c>
      <c r="C86" t="str">
        <f>IF(_xlfn.IFNA(VLOOKUP(I86,WithITS2!A:A,1,FALSE),"None") = "None", "None","Yes")</f>
        <v>None</v>
      </c>
      <c r="D86" t="str">
        <f>IF(AND(B86="No COI",C86="Yes"),"Double check","OK")</f>
        <v>OK</v>
      </c>
      <c r="G86" t="s">
        <v>334</v>
      </c>
      <c r="H86" t="str">
        <f>G86</f>
        <v>Tg</v>
      </c>
      <c r="I86" t="s">
        <v>389</v>
      </c>
      <c r="J86" t="s">
        <v>389</v>
      </c>
      <c r="K86" t="s">
        <v>133</v>
      </c>
      <c r="L86" t="s">
        <v>134</v>
      </c>
      <c r="M86" t="s">
        <v>390</v>
      </c>
      <c r="N86" t="s">
        <v>391</v>
      </c>
      <c r="O86" t="s">
        <v>100</v>
      </c>
      <c r="P86" t="s">
        <v>101</v>
      </c>
      <c r="Q86">
        <v>16.44411667</v>
      </c>
      <c r="R86">
        <v>119.92153329999999</v>
      </c>
      <c r="S86">
        <v>48</v>
      </c>
      <c r="T86">
        <v>9</v>
      </c>
      <c r="U86">
        <v>2009</v>
      </c>
      <c r="V86" t="s">
        <v>392</v>
      </c>
      <c r="W86">
        <v>0</v>
      </c>
      <c r="X86">
        <v>9</v>
      </c>
    </row>
    <row r="87" spans="1:25" x14ac:dyDescent="0.25">
      <c r="A87" t="s">
        <v>393</v>
      </c>
      <c r="B87" t="str">
        <f>_xlfn.IFNA(VLOOKUP(I87,WithCOI!A:B,2,FALSE),"No COI")</f>
        <v>No COI</v>
      </c>
      <c r="C87" t="str">
        <f>IF(_xlfn.IFNA(VLOOKUP(I87,WithITS2!A:A,1,FALSE),"None") = "None", "None","Yes")</f>
        <v>None</v>
      </c>
      <c r="D87" t="str">
        <f>IF(AND(B87="No COI",C87="Yes"),"Double check","OK")</f>
        <v>OK</v>
      </c>
      <c r="G87" t="s">
        <v>334</v>
      </c>
      <c r="H87" t="str">
        <f>G87</f>
        <v>Tg</v>
      </c>
      <c r="I87" t="s">
        <v>394</v>
      </c>
      <c r="J87" t="s">
        <v>394</v>
      </c>
      <c r="K87" t="s">
        <v>133</v>
      </c>
      <c r="L87" t="s">
        <v>134</v>
      </c>
      <c r="M87" t="s">
        <v>395</v>
      </c>
      <c r="N87" t="s">
        <v>396</v>
      </c>
      <c r="O87" t="s">
        <v>100</v>
      </c>
      <c r="P87" t="s">
        <v>101</v>
      </c>
      <c r="Q87">
        <v>16.44411667</v>
      </c>
      <c r="R87">
        <v>119.92153329999999</v>
      </c>
      <c r="S87">
        <v>49</v>
      </c>
      <c r="T87">
        <v>9</v>
      </c>
      <c r="U87">
        <v>2009</v>
      </c>
      <c r="V87" t="s">
        <v>392</v>
      </c>
      <c r="W87">
        <v>0</v>
      </c>
      <c r="X87">
        <v>9</v>
      </c>
    </row>
    <row r="88" spans="1:25" x14ac:dyDescent="0.25">
      <c r="A88" t="s">
        <v>397</v>
      </c>
      <c r="B88" t="str">
        <f>_xlfn.IFNA(VLOOKUP(I88,WithCOI!A:B,2,FALSE),"No COI")</f>
        <v>No COI</v>
      </c>
      <c r="C88" t="str">
        <f>IF(_xlfn.IFNA(VLOOKUP(I88,WithITS2!A:A,1,FALSE),"None") = "None", "None","Yes")</f>
        <v>None</v>
      </c>
      <c r="D88" t="str">
        <f>IF(AND(B88="No COI",C88="Yes"),"Double check","OK")</f>
        <v>OK</v>
      </c>
      <c r="G88" t="s">
        <v>334</v>
      </c>
      <c r="H88" t="str">
        <f>G88</f>
        <v>Tg</v>
      </c>
      <c r="I88" t="s">
        <v>398</v>
      </c>
      <c r="J88" t="s">
        <v>398</v>
      </c>
      <c r="K88" t="s">
        <v>133</v>
      </c>
      <c r="L88" t="s">
        <v>134</v>
      </c>
      <c r="M88" t="s">
        <v>399</v>
      </c>
      <c r="N88" t="s">
        <v>400</v>
      </c>
      <c r="O88" t="s">
        <v>100</v>
      </c>
      <c r="P88" t="s">
        <v>101</v>
      </c>
      <c r="Q88">
        <v>16.44411667</v>
      </c>
      <c r="R88">
        <v>119.92153329999999</v>
      </c>
      <c r="S88">
        <v>44</v>
      </c>
      <c r="T88">
        <v>9</v>
      </c>
      <c r="U88">
        <v>2009</v>
      </c>
      <c r="V88" t="s">
        <v>392</v>
      </c>
      <c r="W88">
        <v>0</v>
      </c>
      <c r="X88">
        <v>9</v>
      </c>
    </row>
    <row r="89" spans="1:25" x14ac:dyDescent="0.25">
      <c r="A89" t="s">
        <v>401</v>
      </c>
      <c r="B89" t="str">
        <f>_xlfn.IFNA(VLOOKUP(I89,WithCOI!A:B,2,FALSE),"No COI")</f>
        <v>No COI</v>
      </c>
      <c r="C89" t="str">
        <f>IF(_xlfn.IFNA(VLOOKUP(I89,WithITS2!A:A,1,FALSE),"None") = "None", "None","Yes")</f>
        <v>None</v>
      </c>
      <c r="D89" t="str">
        <f>IF(AND(B89="No COI",C89="Yes"),"Double check","OK")</f>
        <v>OK</v>
      </c>
      <c r="G89" t="s">
        <v>334</v>
      </c>
      <c r="H89" t="str">
        <f>G89</f>
        <v>Tg</v>
      </c>
      <c r="I89" t="s">
        <v>402</v>
      </c>
      <c r="J89" t="s">
        <v>402</v>
      </c>
      <c r="K89" t="s">
        <v>133</v>
      </c>
      <c r="L89" t="s">
        <v>134</v>
      </c>
      <c r="M89" t="s">
        <v>403</v>
      </c>
      <c r="N89" t="s">
        <v>404</v>
      </c>
      <c r="O89" t="s">
        <v>100</v>
      </c>
      <c r="P89" t="s">
        <v>101</v>
      </c>
      <c r="Q89">
        <v>16.44411667</v>
      </c>
      <c r="R89">
        <v>119.92153329999999</v>
      </c>
      <c r="S89">
        <v>68</v>
      </c>
      <c r="T89">
        <v>20</v>
      </c>
      <c r="U89">
        <v>1998</v>
      </c>
      <c r="V89" t="s">
        <v>392</v>
      </c>
      <c r="W89">
        <v>0</v>
      </c>
      <c r="X89">
        <v>20</v>
      </c>
    </row>
    <row r="90" spans="1:25" x14ac:dyDescent="0.25">
      <c r="A90" t="s">
        <v>405</v>
      </c>
      <c r="B90" t="str">
        <f>_xlfn.IFNA(VLOOKUP(I90,WithCOI!A:B,2,FALSE),"No COI")</f>
        <v>No COI</v>
      </c>
      <c r="C90" t="str">
        <f>IF(_xlfn.IFNA(VLOOKUP(I90,WithITS2!A:A,1,FALSE),"None") = "None", "None","Yes")</f>
        <v>None</v>
      </c>
      <c r="D90" t="str">
        <f>IF(AND(B90="No COI",C90="Yes"),"Double check","OK")</f>
        <v>OK</v>
      </c>
      <c r="G90" t="s">
        <v>334</v>
      </c>
      <c r="H90" t="str">
        <f>G90</f>
        <v>Tg</v>
      </c>
      <c r="I90" t="s">
        <v>406</v>
      </c>
      <c r="J90" t="s">
        <v>406</v>
      </c>
      <c r="K90" t="s">
        <v>133</v>
      </c>
      <c r="L90" t="s">
        <v>134</v>
      </c>
      <c r="M90" t="s">
        <v>407</v>
      </c>
      <c r="N90" t="s">
        <v>408</v>
      </c>
      <c r="O90" t="s">
        <v>100</v>
      </c>
      <c r="P90" t="s">
        <v>101</v>
      </c>
      <c r="Q90">
        <v>16.44411667</v>
      </c>
      <c r="R90">
        <v>119.92153329999999</v>
      </c>
      <c r="S90">
        <v>69</v>
      </c>
      <c r="T90">
        <v>20</v>
      </c>
      <c r="U90">
        <v>1998</v>
      </c>
      <c r="V90" t="s">
        <v>392</v>
      </c>
      <c r="W90">
        <v>0</v>
      </c>
      <c r="X90">
        <v>20</v>
      </c>
    </row>
    <row r="91" spans="1:25" x14ac:dyDescent="0.25">
      <c r="A91" t="s">
        <v>409</v>
      </c>
      <c r="B91" t="str">
        <f>_xlfn.IFNA(VLOOKUP(I91,WithCOI!A:B,2,FALSE),"No COI")</f>
        <v>No COI</v>
      </c>
      <c r="C91" t="str">
        <f>IF(_xlfn.IFNA(VLOOKUP(I91,WithITS2!A:A,1,FALSE),"None") = "None", "None","Yes")</f>
        <v>None</v>
      </c>
      <c r="D91" t="str">
        <f>IF(AND(B91="No COI",C91="Yes"),"Double check","OK")</f>
        <v>OK</v>
      </c>
      <c r="G91" t="s">
        <v>334</v>
      </c>
      <c r="H91" t="str">
        <f>G91</f>
        <v>Tg</v>
      </c>
      <c r="I91" t="s">
        <v>410</v>
      </c>
      <c r="J91" t="s">
        <v>410</v>
      </c>
      <c r="K91" t="s">
        <v>133</v>
      </c>
      <c r="L91" t="s">
        <v>134</v>
      </c>
      <c r="M91" t="s">
        <v>411</v>
      </c>
      <c r="N91" t="s">
        <v>412</v>
      </c>
      <c r="O91" t="s">
        <v>100</v>
      </c>
      <c r="P91" t="s">
        <v>101</v>
      </c>
      <c r="Q91">
        <v>16.44411667</v>
      </c>
      <c r="R91">
        <v>119.92153329999999</v>
      </c>
      <c r="S91">
        <v>72</v>
      </c>
      <c r="T91">
        <v>20</v>
      </c>
      <c r="U91">
        <v>1998</v>
      </c>
      <c r="V91" t="s">
        <v>392</v>
      </c>
      <c r="W91">
        <v>0</v>
      </c>
      <c r="X91">
        <v>20</v>
      </c>
    </row>
    <row r="92" spans="1:25" x14ac:dyDescent="0.25">
      <c r="A92" t="s">
        <v>413</v>
      </c>
      <c r="B92" t="str">
        <f>_xlfn.IFNA(VLOOKUP(I92,WithCOI!A:B,2,FALSE),"No COI")</f>
        <v>No COI</v>
      </c>
      <c r="C92" t="str">
        <f>IF(_xlfn.IFNA(VLOOKUP(I92,WithITS2!A:A,1,FALSE),"None") = "None", "None","Yes")</f>
        <v>None</v>
      </c>
      <c r="D92" t="str">
        <f>IF(AND(B92="No COI",C92="Yes"),"Double check","OK")</f>
        <v>OK</v>
      </c>
      <c r="G92" t="s">
        <v>334</v>
      </c>
      <c r="H92" t="str">
        <f>G92</f>
        <v>Tg</v>
      </c>
      <c r="I92" t="s">
        <v>414</v>
      </c>
      <c r="J92" t="s">
        <v>414</v>
      </c>
      <c r="K92" t="s">
        <v>133</v>
      </c>
      <c r="L92" t="s">
        <v>134</v>
      </c>
      <c r="M92" t="s">
        <v>415</v>
      </c>
      <c r="N92" t="s">
        <v>416</v>
      </c>
      <c r="O92" t="s">
        <v>100</v>
      </c>
      <c r="P92" t="s">
        <v>101</v>
      </c>
      <c r="Q92">
        <v>16.44411667</v>
      </c>
      <c r="R92">
        <v>119.92153329999999</v>
      </c>
      <c r="S92">
        <v>9</v>
      </c>
      <c r="T92">
        <v>1</v>
      </c>
      <c r="U92">
        <v>2017</v>
      </c>
      <c r="V92" t="s">
        <v>392</v>
      </c>
      <c r="W92">
        <v>0</v>
      </c>
      <c r="X92">
        <v>1</v>
      </c>
    </row>
    <row r="93" spans="1:25" x14ac:dyDescent="0.25">
      <c r="A93" t="s">
        <v>417</v>
      </c>
      <c r="B93" t="str">
        <f>_xlfn.IFNA(VLOOKUP(I93,WithCOI!A:B,2,FALSE),"No COI")</f>
        <v>No COI</v>
      </c>
      <c r="C93" t="str">
        <f>IF(_xlfn.IFNA(VLOOKUP(I93,WithITS2!A:A,1,FALSE),"None") = "None", "None","Yes")</f>
        <v>None</v>
      </c>
      <c r="D93" t="str">
        <f>IF(AND(B93="No COI",C93="Yes"),"Double check","OK")</f>
        <v>OK</v>
      </c>
      <c r="G93" t="s">
        <v>334</v>
      </c>
      <c r="H93" t="str">
        <f>G93</f>
        <v>Tg</v>
      </c>
      <c r="I93" t="s">
        <v>418</v>
      </c>
      <c r="J93" t="s">
        <v>418</v>
      </c>
      <c r="K93" t="s">
        <v>133</v>
      </c>
      <c r="L93" t="s">
        <v>134</v>
      </c>
      <c r="M93" t="s">
        <v>419</v>
      </c>
      <c r="N93" t="s">
        <v>420</v>
      </c>
      <c r="O93" t="s">
        <v>100</v>
      </c>
      <c r="P93" t="s">
        <v>101</v>
      </c>
      <c r="Q93">
        <v>16.44411667</v>
      </c>
      <c r="R93">
        <v>119.92153329999999</v>
      </c>
      <c r="S93">
        <v>10</v>
      </c>
      <c r="T93">
        <v>1</v>
      </c>
      <c r="U93">
        <v>2017</v>
      </c>
      <c r="V93" t="s">
        <v>392</v>
      </c>
      <c r="W93">
        <v>0</v>
      </c>
      <c r="X93">
        <v>1</v>
      </c>
    </row>
    <row r="94" spans="1:25" x14ac:dyDescent="0.25">
      <c r="A94" t="s">
        <v>421</v>
      </c>
      <c r="B94" t="str">
        <f>_xlfn.IFNA(VLOOKUP(I94,WithCOI!A:B,2,FALSE),"No COI")</f>
        <v>No COI</v>
      </c>
      <c r="C94" t="str">
        <f>IF(_xlfn.IFNA(VLOOKUP(I94,WithITS2!A:A,1,FALSE),"None") = "None", "None","Yes")</f>
        <v>None</v>
      </c>
      <c r="D94" t="str">
        <f>IF(AND(B94="No COI",C94="Yes"),"Double check","OK")</f>
        <v>OK</v>
      </c>
      <c r="G94" t="s">
        <v>334</v>
      </c>
      <c r="H94" t="str">
        <f>G94</f>
        <v>Tg</v>
      </c>
      <c r="I94" t="s">
        <v>422</v>
      </c>
      <c r="J94" t="s">
        <v>422</v>
      </c>
      <c r="K94" t="s">
        <v>133</v>
      </c>
      <c r="L94" t="s">
        <v>134</v>
      </c>
      <c r="M94" t="s">
        <v>423</v>
      </c>
      <c r="N94" t="s">
        <v>424</v>
      </c>
      <c r="O94" t="s">
        <v>100</v>
      </c>
      <c r="P94" t="s">
        <v>101</v>
      </c>
      <c r="Q94">
        <v>16.44411667</v>
      </c>
      <c r="R94">
        <v>119.92153329999999</v>
      </c>
      <c r="S94">
        <v>12</v>
      </c>
      <c r="T94">
        <v>1</v>
      </c>
      <c r="U94">
        <v>2017</v>
      </c>
      <c r="V94" t="s">
        <v>392</v>
      </c>
      <c r="W94">
        <v>0</v>
      </c>
      <c r="X94">
        <v>1</v>
      </c>
    </row>
    <row r="95" spans="1:25" x14ac:dyDescent="0.25">
      <c r="A95" t="s">
        <v>425</v>
      </c>
      <c r="B95" t="str">
        <f>_xlfn.IFNA(VLOOKUP(I95,WithCOI!A:B,2,FALSE),"No COI")</f>
        <v>No COI</v>
      </c>
      <c r="C95" t="str">
        <f>IF(_xlfn.IFNA(VLOOKUP(I95,WithITS2!A:A,1,FALSE),"None") = "None", "None","Yes")</f>
        <v>None</v>
      </c>
      <c r="D95" t="str">
        <f>IF(AND(B95="No COI",C95="Yes"),"Double check","OK")</f>
        <v>OK</v>
      </c>
      <c r="G95" t="s">
        <v>334</v>
      </c>
      <c r="H95" t="str">
        <f>G95</f>
        <v>Tg</v>
      </c>
      <c r="I95" t="s">
        <v>426</v>
      </c>
      <c r="J95" t="s">
        <v>426</v>
      </c>
      <c r="K95" t="s">
        <v>133</v>
      </c>
      <c r="L95" t="s">
        <v>134</v>
      </c>
      <c r="M95" t="s">
        <v>427</v>
      </c>
      <c r="N95" t="s">
        <v>428</v>
      </c>
      <c r="O95" t="s">
        <v>100</v>
      </c>
      <c r="P95" t="s">
        <v>101</v>
      </c>
      <c r="Q95">
        <v>16.44411667</v>
      </c>
      <c r="R95">
        <v>119.92153329999999</v>
      </c>
      <c r="S95">
        <v>69</v>
      </c>
      <c r="T95">
        <v>18</v>
      </c>
      <c r="U95">
        <v>2000</v>
      </c>
      <c r="V95" t="s">
        <v>392</v>
      </c>
      <c r="W95">
        <v>0</v>
      </c>
      <c r="X95">
        <v>18</v>
      </c>
    </row>
    <row r="96" spans="1:25" x14ac:dyDescent="0.25">
      <c r="A96" t="s">
        <v>429</v>
      </c>
      <c r="B96" t="str">
        <f>_xlfn.IFNA(VLOOKUP(I96,WithCOI!A:B,2,FALSE),"No COI")</f>
        <v>No COI</v>
      </c>
      <c r="C96" t="str">
        <f>IF(_xlfn.IFNA(VLOOKUP(I96,WithITS2!A:A,1,FALSE),"None") = "None", "None","Yes")</f>
        <v>None</v>
      </c>
      <c r="D96" t="str">
        <f>IF(AND(B96="No COI",C96="Yes"),"Double check","OK")</f>
        <v>OK</v>
      </c>
      <c r="G96" t="s">
        <v>334</v>
      </c>
      <c r="H96" t="str">
        <f>G96</f>
        <v>Tg</v>
      </c>
      <c r="I96" t="s">
        <v>430</v>
      </c>
      <c r="J96" t="s">
        <v>430</v>
      </c>
      <c r="K96" t="s">
        <v>133</v>
      </c>
      <c r="L96" t="s">
        <v>134</v>
      </c>
      <c r="M96" t="s">
        <v>431</v>
      </c>
      <c r="N96" t="s">
        <v>432</v>
      </c>
      <c r="O96" t="s">
        <v>100</v>
      </c>
      <c r="P96" t="s">
        <v>101</v>
      </c>
      <c r="Q96">
        <v>16.44411667</v>
      </c>
      <c r="R96">
        <v>119.92153329999999</v>
      </c>
      <c r="S96">
        <v>65</v>
      </c>
      <c r="T96">
        <v>18</v>
      </c>
      <c r="U96">
        <v>2000</v>
      </c>
      <c r="V96" t="s">
        <v>392</v>
      </c>
      <c r="W96">
        <v>0</v>
      </c>
      <c r="X96">
        <v>18</v>
      </c>
    </row>
    <row r="97" spans="1:25" x14ac:dyDescent="0.25">
      <c r="A97" t="s">
        <v>433</v>
      </c>
      <c r="B97" t="str">
        <f>_xlfn.IFNA(VLOOKUP(I97,WithCOI!A:B,2,FALSE),"No COI")</f>
        <v>No COI</v>
      </c>
      <c r="C97" t="str">
        <f>IF(_xlfn.IFNA(VLOOKUP(I97,WithITS2!A:A,1,FALSE),"None") = "None", "None","Yes")</f>
        <v>None</v>
      </c>
      <c r="D97" t="str">
        <f>IF(AND(B97="No COI",C97="Yes"),"Double check","OK")</f>
        <v>OK</v>
      </c>
      <c r="G97" t="s">
        <v>334</v>
      </c>
      <c r="H97" t="str">
        <f>G97</f>
        <v>Tg</v>
      </c>
      <c r="I97" t="s">
        <v>434</v>
      </c>
      <c r="J97" t="s">
        <v>434</v>
      </c>
      <c r="K97" t="s">
        <v>133</v>
      </c>
      <c r="L97" t="s">
        <v>134</v>
      </c>
      <c r="M97" t="s">
        <v>435</v>
      </c>
      <c r="N97" t="s">
        <v>436</v>
      </c>
      <c r="O97" t="s">
        <v>100</v>
      </c>
      <c r="P97" t="s">
        <v>101</v>
      </c>
      <c r="Q97">
        <v>16.44411667</v>
      </c>
      <c r="R97">
        <v>119.92153329999999</v>
      </c>
      <c r="S97">
        <v>70</v>
      </c>
      <c r="T97">
        <v>18</v>
      </c>
      <c r="U97">
        <v>2000</v>
      </c>
      <c r="V97" t="s">
        <v>392</v>
      </c>
      <c r="W97">
        <v>0</v>
      </c>
      <c r="X97">
        <v>18</v>
      </c>
    </row>
    <row r="98" spans="1:25" x14ac:dyDescent="0.25">
      <c r="A98" t="s">
        <v>437</v>
      </c>
      <c r="B98" t="str">
        <f>_xlfn.IFNA(VLOOKUP(I98,WithCOI!A:B,2,FALSE),"No COI")</f>
        <v>No COI</v>
      </c>
      <c r="C98" t="str">
        <f>IF(_xlfn.IFNA(VLOOKUP(I98,WithITS2!A:A,1,FALSE),"None") = "None", "None","Yes")</f>
        <v>None</v>
      </c>
      <c r="D98" t="str">
        <f>IF(AND(B98="No COI",C98="Yes"),"Double check","OK")</f>
        <v>OK</v>
      </c>
      <c r="G98" t="s">
        <v>334</v>
      </c>
      <c r="H98" t="str">
        <f>G98</f>
        <v>Tg</v>
      </c>
      <c r="I98" t="s">
        <v>438</v>
      </c>
      <c r="J98" t="s">
        <v>438</v>
      </c>
      <c r="K98" t="s">
        <v>133</v>
      </c>
      <c r="L98" t="s">
        <v>134</v>
      </c>
      <c r="M98" t="s">
        <v>439</v>
      </c>
      <c r="N98" t="s">
        <v>440</v>
      </c>
      <c r="O98" t="s">
        <v>100</v>
      </c>
      <c r="P98" t="s">
        <v>101</v>
      </c>
      <c r="Q98">
        <v>16.44411667</v>
      </c>
      <c r="R98">
        <v>119.92153329999999</v>
      </c>
      <c r="S98">
        <v>54</v>
      </c>
      <c r="T98">
        <v>16</v>
      </c>
      <c r="U98">
        <v>2002</v>
      </c>
      <c r="V98" t="s">
        <v>392</v>
      </c>
      <c r="W98">
        <v>0</v>
      </c>
      <c r="X98">
        <v>16</v>
      </c>
    </row>
    <row r="99" spans="1:25" x14ac:dyDescent="0.25">
      <c r="A99" t="s">
        <v>441</v>
      </c>
      <c r="B99" t="str">
        <f>_xlfn.IFNA(VLOOKUP(I99,WithCOI!A:B,2,FALSE),"No COI")</f>
        <v>No COI</v>
      </c>
      <c r="C99" t="str">
        <f>IF(_xlfn.IFNA(VLOOKUP(I99,WithITS2!A:A,1,FALSE),"None") = "None", "None","Yes")</f>
        <v>None</v>
      </c>
      <c r="D99" t="str">
        <f>IF(AND(B99="No COI",C99="Yes"),"Double check","OK")</f>
        <v>OK</v>
      </c>
      <c r="G99" t="s">
        <v>334</v>
      </c>
      <c r="H99" t="str">
        <f>G99</f>
        <v>Tg</v>
      </c>
      <c r="I99" t="s">
        <v>442</v>
      </c>
      <c r="J99" t="s">
        <v>442</v>
      </c>
      <c r="K99" t="s">
        <v>133</v>
      </c>
      <c r="L99" t="s">
        <v>134</v>
      </c>
      <c r="M99" t="s">
        <v>443</v>
      </c>
      <c r="N99" t="s">
        <v>444</v>
      </c>
      <c r="O99" t="s">
        <v>100</v>
      </c>
      <c r="P99" t="s">
        <v>101</v>
      </c>
      <c r="Q99">
        <v>16.44411667</v>
      </c>
      <c r="R99">
        <v>119.92153329999999</v>
      </c>
      <c r="S99">
        <v>60</v>
      </c>
      <c r="T99">
        <v>16</v>
      </c>
      <c r="U99">
        <v>2002</v>
      </c>
      <c r="V99" t="s">
        <v>392</v>
      </c>
      <c r="W99">
        <v>0</v>
      </c>
      <c r="X99">
        <v>16</v>
      </c>
    </row>
    <row r="100" spans="1:25" x14ac:dyDescent="0.25">
      <c r="A100" t="s">
        <v>445</v>
      </c>
      <c r="B100" t="str">
        <f>_xlfn.IFNA(VLOOKUP(I100,WithCOI!A:B,2,FALSE),"No COI")</f>
        <v>No COI</v>
      </c>
      <c r="C100" t="str">
        <f>IF(_xlfn.IFNA(VLOOKUP(I100,WithITS2!A:A,1,FALSE),"None") = "None", "None","Yes")</f>
        <v>None</v>
      </c>
      <c r="D100" t="str">
        <f>IF(AND(B100="No COI",C100="Yes"),"Double check","OK")</f>
        <v>OK</v>
      </c>
      <c r="G100" t="s">
        <v>334</v>
      </c>
      <c r="H100" t="str">
        <f>G100</f>
        <v>Tg</v>
      </c>
      <c r="I100" t="s">
        <v>446</v>
      </c>
      <c r="J100" t="s">
        <v>446</v>
      </c>
      <c r="K100" t="s">
        <v>133</v>
      </c>
      <c r="L100" t="s">
        <v>134</v>
      </c>
      <c r="M100" t="s">
        <v>447</v>
      </c>
      <c r="N100" t="s">
        <v>448</v>
      </c>
      <c r="O100" t="s">
        <v>100</v>
      </c>
      <c r="P100" t="s">
        <v>101</v>
      </c>
      <c r="Q100">
        <v>16.44411667</v>
      </c>
      <c r="R100">
        <v>119.92153329999999</v>
      </c>
      <c r="S100">
        <v>63</v>
      </c>
      <c r="T100">
        <v>16</v>
      </c>
      <c r="U100">
        <v>2002</v>
      </c>
      <c r="V100" t="s">
        <v>392</v>
      </c>
      <c r="W100">
        <v>0</v>
      </c>
      <c r="X100">
        <v>16</v>
      </c>
    </row>
    <row r="101" spans="1:25" x14ac:dyDescent="0.25">
      <c r="A101" t="s">
        <v>449</v>
      </c>
      <c r="B101" t="str">
        <f>_xlfn.IFNA(VLOOKUP(I101,WithCOI!A:B,2,FALSE),"No COI")</f>
        <v>No COI</v>
      </c>
      <c r="C101" t="str">
        <f>IF(_xlfn.IFNA(VLOOKUP(I101,WithITS2!A:A,1,FALSE),"None") = "None", "None","Yes")</f>
        <v>None</v>
      </c>
      <c r="D101" t="str">
        <f>IF(AND(B101="No COI",C101="Yes"),"Double check","OK")</f>
        <v>OK</v>
      </c>
      <c r="G101" t="s">
        <v>334</v>
      </c>
      <c r="H101" t="str">
        <f>G101</f>
        <v>Tg</v>
      </c>
      <c r="I101" t="s">
        <v>450</v>
      </c>
      <c r="J101" t="s">
        <v>450</v>
      </c>
      <c r="K101" t="s">
        <v>133</v>
      </c>
      <c r="L101" t="s">
        <v>134</v>
      </c>
      <c r="M101" t="s">
        <v>451</v>
      </c>
      <c r="N101" t="s">
        <v>452</v>
      </c>
      <c r="O101" t="s">
        <v>100</v>
      </c>
      <c r="P101" t="s">
        <v>101</v>
      </c>
      <c r="Q101">
        <v>16.44411667</v>
      </c>
      <c r="R101">
        <v>119.92153329999999</v>
      </c>
      <c r="S101">
        <v>57</v>
      </c>
      <c r="T101">
        <v>14</v>
      </c>
      <c r="U101">
        <v>2004</v>
      </c>
      <c r="V101" t="s">
        <v>392</v>
      </c>
      <c r="W101">
        <v>0</v>
      </c>
      <c r="X101">
        <v>14</v>
      </c>
    </row>
    <row r="102" spans="1:25" x14ac:dyDescent="0.25">
      <c r="A102" t="s">
        <v>453</v>
      </c>
      <c r="B102" t="str">
        <f>_xlfn.IFNA(VLOOKUP(I102,WithCOI!A:B,2,FALSE),"No COI")</f>
        <v>No COI</v>
      </c>
      <c r="C102" t="str">
        <f>IF(_xlfn.IFNA(VLOOKUP(I102,WithITS2!A:A,1,FALSE),"None") = "None", "None","Yes")</f>
        <v>None</v>
      </c>
      <c r="D102" t="str">
        <f>IF(AND(B102="No COI",C102="Yes"),"Double check","OK")</f>
        <v>OK</v>
      </c>
      <c r="G102" t="s">
        <v>334</v>
      </c>
      <c r="H102" t="str">
        <f>G102</f>
        <v>Tg</v>
      </c>
      <c r="I102" t="s">
        <v>454</v>
      </c>
      <c r="J102" t="s">
        <v>454</v>
      </c>
      <c r="K102" t="s">
        <v>133</v>
      </c>
      <c r="L102" t="s">
        <v>134</v>
      </c>
      <c r="M102" t="s">
        <v>455</v>
      </c>
      <c r="N102" t="s">
        <v>456</v>
      </c>
      <c r="O102" t="s">
        <v>100</v>
      </c>
      <c r="P102" t="s">
        <v>101</v>
      </c>
      <c r="Q102">
        <v>16.44411667</v>
      </c>
      <c r="R102">
        <v>119.92153329999999</v>
      </c>
      <c r="S102">
        <v>61</v>
      </c>
      <c r="T102">
        <v>14</v>
      </c>
      <c r="U102">
        <v>2004</v>
      </c>
      <c r="V102" t="s">
        <v>392</v>
      </c>
      <c r="W102">
        <v>0</v>
      </c>
      <c r="X102">
        <v>14</v>
      </c>
    </row>
    <row r="103" spans="1:25" x14ac:dyDescent="0.25">
      <c r="A103" t="s">
        <v>457</v>
      </c>
      <c r="B103" t="str">
        <f>_xlfn.IFNA(VLOOKUP(I103,WithCOI!A:B,2,FALSE),"No COI")</f>
        <v>No COI</v>
      </c>
      <c r="C103" t="str">
        <f>IF(_xlfn.IFNA(VLOOKUP(I103,WithITS2!A:A,1,FALSE),"None") = "None", "None","Yes")</f>
        <v>None</v>
      </c>
      <c r="D103" t="str">
        <f>IF(AND(B103="No COI",C103="Yes"),"Double check","OK")</f>
        <v>OK</v>
      </c>
      <c r="G103" t="s">
        <v>334</v>
      </c>
      <c r="H103" t="str">
        <f>G103</f>
        <v>Tg</v>
      </c>
      <c r="I103" t="s">
        <v>458</v>
      </c>
      <c r="J103" t="s">
        <v>458</v>
      </c>
      <c r="K103" t="s">
        <v>133</v>
      </c>
      <c r="L103" t="s">
        <v>134</v>
      </c>
      <c r="M103" t="s">
        <v>459</v>
      </c>
      <c r="N103" t="s">
        <v>460</v>
      </c>
      <c r="O103" t="s">
        <v>100</v>
      </c>
      <c r="P103" t="s">
        <v>101</v>
      </c>
      <c r="Q103">
        <v>16.44411667</v>
      </c>
      <c r="R103">
        <v>119.92153329999999</v>
      </c>
      <c r="S103">
        <v>57</v>
      </c>
      <c r="T103">
        <v>14</v>
      </c>
      <c r="U103">
        <v>2004</v>
      </c>
      <c r="V103" t="s">
        <v>392</v>
      </c>
      <c r="W103">
        <v>0</v>
      </c>
      <c r="X103">
        <v>14</v>
      </c>
    </row>
    <row r="104" spans="1:25" x14ac:dyDescent="0.25">
      <c r="A104" t="s">
        <v>461</v>
      </c>
      <c r="B104" t="str">
        <f>_xlfn.IFNA(VLOOKUP(I104,WithCOI!A:B,2,FALSE),"No COI")</f>
        <v>No COI</v>
      </c>
      <c r="C104" t="str">
        <f>IF(_xlfn.IFNA(VLOOKUP(I104,WithITS2!A:A,1,FALSE),"None") = "None", "None","Yes")</f>
        <v>None</v>
      </c>
      <c r="D104" t="str">
        <f>IF(AND(B104="No COI",C104="Yes"),"Double check","OK")</f>
        <v>OK</v>
      </c>
      <c r="G104" t="s">
        <v>334</v>
      </c>
      <c r="H104" t="str">
        <f>G104</f>
        <v>Tg</v>
      </c>
      <c r="I104" t="s">
        <v>462</v>
      </c>
      <c r="J104" t="s">
        <v>462</v>
      </c>
      <c r="K104" t="s">
        <v>133</v>
      </c>
      <c r="L104" t="s">
        <v>134</v>
      </c>
      <c r="M104" t="s">
        <v>463</v>
      </c>
      <c r="N104" t="s">
        <v>464</v>
      </c>
      <c r="O104" t="s">
        <v>100</v>
      </c>
      <c r="P104" t="s">
        <v>101</v>
      </c>
      <c r="Q104">
        <v>16.44411667</v>
      </c>
      <c r="R104">
        <v>119.92153329999999</v>
      </c>
      <c r="S104">
        <v>34</v>
      </c>
      <c r="T104">
        <v>3</v>
      </c>
      <c r="U104">
        <v>2015</v>
      </c>
      <c r="V104" t="s">
        <v>392</v>
      </c>
      <c r="W104">
        <v>0</v>
      </c>
      <c r="X104">
        <v>3</v>
      </c>
    </row>
    <row r="105" spans="1:25" x14ac:dyDescent="0.25">
      <c r="A105" t="s">
        <v>465</v>
      </c>
      <c r="B105" t="str">
        <f>_xlfn.IFNA(VLOOKUP(I105,WithCOI!A:B,2,FALSE),"No COI")</f>
        <v>No COI</v>
      </c>
      <c r="C105" t="str">
        <f>IF(_xlfn.IFNA(VLOOKUP(I105,WithITS2!A:A,1,FALSE),"None") = "None", "None","Yes")</f>
        <v>None</v>
      </c>
      <c r="D105" t="str">
        <f>IF(AND(B105="No COI",C105="Yes"),"Double check","OK")</f>
        <v>OK</v>
      </c>
      <c r="G105" t="s">
        <v>334</v>
      </c>
      <c r="H105" t="str">
        <f>G105</f>
        <v>Tg</v>
      </c>
      <c r="I105" t="s">
        <v>466</v>
      </c>
      <c r="J105" t="s">
        <v>466</v>
      </c>
      <c r="K105" t="s">
        <v>133</v>
      </c>
      <c r="L105" t="s">
        <v>134</v>
      </c>
      <c r="M105" t="s">
        <v>467</v>
      </c>
      <c r="N105" t="s">
        <v>468</v>
      </c>
      <c r="O105" t="s">
        <v>100</v>
      </c>
      <c r="P105" t="s">
        <v>101</v>
      </c>
      <c r="Q105">
        <v>16.44411667</v>
      </c>
      <c r="R105">
        <v>119.92153329999999</v>
      </c>
      <c r="S105">
        <v>29</v>
      </c>
      <c r="T105">
        <v>3</v>
      </c>
      <c r="U105">
        <v>2015</v>
      </c>
      <c r="V105" t="s">
        <v>392</v>
      </c>
      <c r="W105">
        <v>0</v>
      </c>
      <c r="X105">
        <v>3</v>
      </c>
    </row>
    <row r="106" spans="1:25" x14ac:dyDescent="0.25">
      <c r="A106" t="s">
        <v>469</v>
      </c>
      <c r="B106" t="str">
        <f>_xlfn.IFNA(VLOOKUP(I106,WithCOI!A:B,2,FALSE),"No COI")</f>
        <v>No COI</v>
      </c>
      <c r="C106" t="str">
        <f>IF(_xlfn.IFNA(VLOOKUP(I106,WithITS2!A:A,1,FALSE),"None") = "None", "None","Yes")</f>
        <v>None</v>
      </c>
      <c r="D106" t="str">
        <f>IF(AND(B106="No COI",C106="Yes"),"Double check","OK")</f>
        <v>OK</v>
      </c>
      <c r="G106" t="s">
        <v>334</v>
      </c>
      <c r="H106" t="str">
        <f>G106</f>
        <v>Tg</v>
      </c>
      <c r="I106" t="s">
        <v>470</v>
      </c>
      <c r="J106" t="s">
        <v>470</v>
      </c>
      <c r="K106" t="s">
        <v>133</v>
      </c>
      <c r="L106" t="s">
        <v>134</v>
      </c>
      <c r="M106" t="s">
        <v>471</v>
      </c>
      <c r="N106" t="s">
        <v>472</v>
      </c>
      <c r="O106" t="s">
        <v>100</v>
      </c>
      <c r="P106" t="s">
        <v>101</v>
      </c>
      <c r="Q106">
        <v>16.44411667</v>
      </c>
      <c r="R106">
        <v>119.92153329999999</v>
      </c>
      <c r="S106">
        <v>32</v>
      </c>
      <c r="T106">
        <v>3</v>
      </c>
      <c r="U106">
        <v>2015</v>
      </c>
      <c r="V106" t="s">
        <v>392</v>
      </c>
      <c r="W106">
        <v>0</v>
      </c>
      <c r="X106">
        <v>3</v>
      </c>
    </row>
    <row r="107" spans="1:25" x14ac:dyDescent="0.25">
      <c r="A107" t="s">
        <v>473</v>
      </c>
      <c r="B107" t="str">
        <f>_xlfn.IFNA(VLOOKUP(I107,WithCOI!A:B,2,FALSE),"No COI")</f>
        <v>With COI</v>
      </c>
      <c r="C107" t="str">
        <f>IF(_xlfn.IFNA(VLOOKUP(I107,WithITS2!A:A,1,FALSE),"None") = "None", "None","Yes")</f>
        <v>Yes</v>
      </c>
      <c r="D107" t="str">
        <f>IF(AND(B107="No COI",C107="Yes"),"Double check","OK")</f>
        <v>OK</v>
      </c>
      <c r="G107" t="s">
        <v>334</v>
      </c>
      <c r="H107" t="str">
        <f>G107</f>
        <v>Tg</v>
      </c>
      <c r="I107" t="s">
        <v>474</v>
      </c>
      <c r="J107" t="s">
        <v>474</v>
      </c>
      <c r="K107" t="s">
        <v>19</v>
      </c>
      <c r="L107" t="s">
        <v>20</v>
      </c>
      <c r="M107" t="s">
        <v>475</v>
      </c>
      <c r="N107" t="s">
        <v>476</v>
      </c>
      <c r="O107" t="s">
        <v>246</v>
      </c>
      <c r="P107" t="s">
        <v>247</v>
      </c>
      <c r="Q107">
        <v>16.2218333</v>
      </c>
      <c r="R107">
        <v>120.0484167</v>
      </c>
      <c r="S107">
        <v>71</v>
      </c>
      <c r="T107">
        <v>23</v>
      </c>
      <c r="U107">
        <v>1995</v>
      </c>
      <c r="V107">
        <v>1998</v>
      </c>
      <c r="W107">
        <v>20</v>
      </c>
      <c r="X107">
        <v>3</v>
      </c>
      <c r="Y107" t="s">
        <v>246</v>
      </c>
    </row>
    <row r="108" spans="1:25" x14ac:dyDescent="0.25">
      <c r="A108" t="s">
        <v>477</v>
      </c>
      <c r="B108" t="str">
        <f>_xlfn.IFNA(VLOOKUP(I108,WithCOI!A:B,2,FALSE),"No COI")</f>
        <v>With COI</v>
      </c>
      <c r="C108" t="str">
        <f>IF(_xlfn.IFNA(VLOOKUP(I108,WithITS2!A:A,1,FALSE),"None") = "None", "None","Yes")</f>
        <v>Yes</v>
      </c>
      <c r="D108" t="str">
        <f>IF(AND(B108="No COI",C108="Yes"),"Double check","OK")</f>
        <v>OK</v>
      </c>
      <c r="G108" t="s">
        <v>334</v>
      </c>
      <c r="H108" t="str">
        <f>G108</f>
        <v>Tg</v>
      </c>
      <c r="I108" t="s">
        <v>478</v>
      </c>
      <c r="J108" t="s">
        <v>478</v>
      </c>
      <c r="K108" t="s">
        <v>19</v>
      </c>
      <c r="L108" t="s">
        <v>20</v>
      </c>
      <c r="M108" t="s">
        <v>479</v>
      </c>
      <c r="N108" t="s">
        <v>480</v>
      </c>
      <c r="O108" t="s">
        <v>246</v>
      </c>
      <c r="P108" t="s">
        <v>247</v>
      </c>
      <c r="Q108">
        <v>16.2218333</v>
      </c>
      <c r="R108">
        <v>120.0484167</v>
      </c>
      <c r="S108">
        <v>81</v>
      </c>
      <c r="T108">
        <v>23</v>
      </c>
      <c r="U108">
        <v>1995</v>
      </c>
      <c r="V108">
        <v>1998</v>
      </c>
      <c r="W108">
        <v>20</v>
      </c>
      <c r="X108">
        <v>3</v>
      </c>
      <c r="Y108" t="s">
        <v>246</v>
      </c>
    </row>
    <row r="109" spans="1:25" x14ac:dyDescent="0.25">
      <c r="A109" t="s">
        <v>481</v>
      </c>
      <c r="B109" t="str">
        <f>_xlfn.IFNA(VLOOKUP(I109,WithCOI!A:B,2,FALSE),"No COI")</f>
        <v>With COI</v>
      </c>
      <c r="C109" t="str">
        <f>IF(_xlfn.IFNA(VLOOKUP(I109,WithITS2!A:A,1,FALSE),"None") = "None", "None","Yes")</f>
        <v>Yes</v>
      </c>
      <c r="D109" t="str">
        <f>IF(AND(B109="No COI",C109="Yes"),"Double check","OK")</f>
        <v>OK</v>
      </c>
      <c r="G109" t="s">
        <v>334</v>
      </c>
      <c r="H109" t="str">
        <f>G109</f>
        <v>Tg</v>
      </c>
      <c r="I109" t="s">
        <v>482</v>
      </c>
      <c r="J109" t="s">
        <v>482</v>
      </c>
      <c r="K109" t="s">
        <v>19</v>
      </c>
      <c r="L109" t="s">
        <v>20</v>
      </c>
      <c r="M109" t="s">
        <v>483</v>
      </c>
      <c r="N109" t="s">
        <v>484</v>
      </c>
      <c r="O109" t="s">
        <v>246</v>
      </c>
      <c r="P109" t="s">
        <v>247</v>
      </c>
      <c r="Q109">
        <v>16.2218333</v>
      </c>
      <c r="R109">
        <v>120.0484167</v>
      </c>
      <c r="S109">
        <v>90</v>
      </c>
      <c r="T109">
        <v>23</v>
      </c>
      <c r="U109">
        <v>1995</v>
      </c>
      <c r="V109">
        <v>1998</v>
      </c>
      <c r="W109">
        <v>20</v>
      </c>
      <c r="X109">
        <v>3</v>
      </c>
      <c r="Y109" t="s">
        <v>246</v>
      </c>
    </row>
    <row r="110" spans="1:25" x14ac:dyDescent="0.25">
      <c r="A110" t="s">
        <v>485</v>
      </c>
      <c r="B110" t="str">
        <f>_xlfn.IFNA(VLOOKUP(I110,WithCOI!A:B,2,FALSE),"No COI")</f>
        <v>With COI</v>
      </c>
      <c r="C110" t="str">
        <f>IF(_xlfn.IFNA(VLOOKUP(I110,WithITS2!A:A,1,FALSE),"None") = "None", "None","Yes")</f>
        <v>Yes</v>
      </c>
      <c r="D110" t="str">
        <f>IF(AND(B110="No COI",C110="Yes"),"Double check","OK")</f>
        <v>OK</v>
      </c>
      <c r="G110" t="s">
        <v>334</v>
      </c>
      <c r="H110" t="str">
        <f>G110</f>
        <v>Tg</v>
      </c>
      <c r="I110" t="s">
        <v>486</v>
      </c>
      <c r="J110" t="s">
        <v>486</v>
      </c>
      <c r="K110" t="s">
        <v>19</v>
      </c>
      <c r="L110" t="s">
        <v>20</v>
      </c>
      <c r="M110" t="s">
        <v>487</v>
      </c>
      <c r="N110" t="s">
        <v>488</v>
      </c>
      <c r="O110" t="s">
        <v>489</v>
      </c>
      <c r="P110" t="s">
        <v>352</v>
      </c>
      <c r="Q110">
        <v>13.80308333</v>
      </c>
      <c r="R110">
        <v>120.9117833</v>
      </c>
      <c r="S110">
        <v>52</v>
      </c>
      <c r="T110">
        <v>23</v>
      </c>
      <c r="U110">
        <v>1995</v>
      </c>
      <c r="V110">
        <v>1996</v>
      </c>
      <c r="W110">
        <v>22</v>
      </c>
      <c r="X110">
        <v>1</v>
      </c>
      <c r="Y110" t="s">
        <v>490</v>
      </c>
    </row>
    <row r="111" spans="1:25" x14ac:dyDescent="0.25">
      <c r="A111" t="s">
        <v>491</v>
      </c>
      <c r="B111" t="str">
        <f>_xlfn.IFNA(VLOOKUP(I111,WithCOI!A:B,2,FALSE),"No COI")</f>
        <v>With COI</v>
      </c>
      <c r="C111" t="str">
        <f>IF(_xlfn.IFNA(VLOOKUP(I111,WithITS2!A:A,1,FALSE),"None") = "None", "None","Yes")</f>
        <v>Yes</v>
      </c>
      <c r="D111" t="str">
        <f>IF(AND(B111="No COI",C111="Yes"),"Double check","OK")</f>
        <v>OK</v>
      </c>
      <c r="G111" t="s">
        <v>334</v>
      </c>
      <c r="H111" t="str">
        <f>G111</f>
        <v>Tg</v>
      </c>
      <c r="I111" t="s">
        <v>492</v>
      </c>
      <c r="J111" t="s">
        <v>492</v>
      </c>
      <c r="K111" t="s">
        <v>19</v>
      </c>
      <c r="L111" t="s">
        <v>20</v>
      </c>
      <c r="M111" t="s">
        <v>493</v>
      </c>
      <c r="N111" t="s">
        <v>494</v>
      </c>
      <c r="O111" t="s">
        <v>489</v>
      </c>
      <c r="P111" t="s">
        <v>352</v>
      </c>
      <c r="Q111">
        <v>13.80308333</v>
      </c>
      <c r="R111">
        <v>120.9117833</v>
      </c>
      <c r="S111">
        <v>76</v>
      </c>
      <c r="T111">
        <v>23</v>
      </c>
      <c r="U111">
        <v>1995</v>
      </c>
      <c r="V111">
        <v>1996</v>
      </c>
      <c r="W111">
        <v>22</v>
      </c>
      <c r="X111">
        <v>1</v>
      </c>
      <c r="Y111" t="s">
        <v>490</v>
      </c>
    </row>
    <row r="112" spans="1:25" x14ac:dyDescent="0.25">
      <c r="A112" t="s">
        <v>495</v>
      </c>
      <c r="B112" t="str">
        <f>_xlfn.IFNA(VLOOKUP(I112,WithCOI!A:B,2,FALSE),"No COI")</f>
        <v>With COI</v>
      </c>
      <c r="C112" t="str">
        <f>IF(_xlfn.IFNA(VLOOKUP(I112,WithITS2!A:A,1,FALSE),"None") = "None", "None","Yes")</f>
        <v>Yes</v>
      </c>
      <c r="D112" t="str">
        <f>IF(AND(B112="No COI",C112="Yes"),"Double check","OK")</f>
        <v>OK</v>
      </c>
      <c r="G112" t="s">
        <v>334</v>
      </c>
      <c r="H112" t="str">
        <f>G112</f>
        <v>Tg</v>
      </c>
      <c r="I112" t="s">
        <v>496</v>
      </c>
      <c r="J112" t="s">
        <v>496</v>
      </c>
      <c r="K112" t="s">
        <v>19</v>
      </c>
      <c r="L112" t="s">
        <v>20</v>
      </c>
      <c r="M112" t="s">
        <v>497</v>
      </c>
      <c r="N112" t="s">
        <v>498</v>
      </c>
      <c r="O112" t="s">
        <v>489</v>
      </c>
      <c r="P112" t="s">
        <v>352</v>
      </c>
      <c r="Q112">
        <v>13.80308333</v>
      </c>
      <c r="R112">
        <v>120.9117833</v>
      </c>
      <c r="S112">
        <v>51</v>
      </c>
      <c r="T112">
        <v>23</v>
      </c>
      <c r="U112">
        <v>1995</v>
      </c>
      <c r="V112">
        <v>1996</v>
      </c>
      <c r="W112">
        <v>22</v>
      </c>
      <c r="X112">
        <v>1</v>
      </c>
      <c r="Y112" t="s">
        <v>490</v>
      </c>
    </row>
    <row r="113" spans="1:26" x14ac:dyDescent="0.25">
      <c r="A113" t="s">
        <v>499</v>
      </c>
      <c r="B113" t="str">
        <f>_xlfn.IFNA(VLOOKUP(I113,WithCOI!A:B,2,FALSE),"No COI")</f>
        <v>No COI</v>
      </c>
      <c r="C113" t="str">
        <f>IF(_xlfn.IFNA(VLOOKUP(I113,WithITS2!A:A,1,FALSE),"None") = "None", "None","Yes")</f>
        <v>None</v>
      </c>
      <c r="D113" t="str">
        <f>IF(AND(B113="No COI",C113="Yes"),"Double check","OK")</f>
        <v>OK</v>
      </c>
      <c r="G113" t="s">
        <v>334</v>
      </c>
      <c r="H113" t="str">
        <f>G113</f>
        <v>Tg</v>
      </c>
      <c r="I113" t="s">
        <v>500</v>
      </c>
      <c r="J113" t="s">
        <v>500</v>
      </c>
      <c r="K113" t="s">
        <v>19</v>
      </c>
      <c r="L113" t="s">
        <v>20</v>
      </c>
      <c r="M113" t="s">
        <v>501</v>
      </c>
      <c r="N113" t="s">
        <v>502</v>
      </c>
      <c r="O113" t="s">
        <v>351</v>
      </c>
      <c r="P113" t="s">
        <v>352</v>
      </c>
      <c r="Q113">
        <v>13.68765</v>
      </c>
      <c r="R113">
        <v>120.88979999999999</v>
      </c>
      <c r="S113">
        <v>64</v>
      </c>
      <c r="T113">
        <v>28</v>
      </c>
      <c r="U113">
        <v>1990</v>
      </c>
      <c r="V113">
        <v>1996</v>
      </c>
      <c r="W113">
        <v>22</v>
      </c>
      <c r="X113">
        <v>6</v>
      </c>
      <c r="Y113" t="s">
        <v>353</v>
      </c>
    </row>
    <row r="114" spans="1:26" x14ac:dyDescent="0.25">
      <c r="A114" t="s">
        <v>503</v>
      </c>
      <c r="B114" t="str">
        <f>_xlfn.IFNA(VLOOKUP(I114,WithCOI!A:B,2,FALSE),"No COI")</f>
        <v>With COI</v>
      </c>
      <c r="C114" t="str">
        <f>IF(_xlfn.IFNA(VLOOKUP(I114,WithITS2!A:A,1,FALSE),"None") = "None", "None","Yes")</f>
        <v>Yes</v>
      </c>
      <c r="D114" t="str">
        <f>IF(AND(B114="No COI",C114="Yes"),"Double check","OK")</f>
        <v>OK</v>
      </c>
      <c r="G114" t="s">
        <v>334</v>
      </c>
      <c r="H114" t="str">
        <f>G114</f>
        <v>Tg</v>
      </c>
      <c r="I114" t="s">
        <v>504</v>
      </c>
      <c r="J114" t="s">
        <v>504</v>
      </c>
      <c r="K114" t="s">
        <v>19</v>
      </c>
      <c r="L114" t="s">
        <v>20</v>
      </c>
      <c r="M114" t="s">
        <v>505</v>
      </c>
      <c r="N114" t="s">
        <v>506</v>
      </c>
      <c r="O114" t="s">
        <v>351</v>
      </c>
      <c r="P114" t="s">
        <v>352</v>
      </c>
      <c r="Q114">
        <v>13.68765</v>
      </c>
      <c r="R114">
        <v>120.88979999999999</v>
      </c>
      <c r="S114">
        <v>71</v>
      </c>
      <c r="T114">
        <v>28</v>
      </c>
      <c r="U114">
        <v>1990</v>
      </c>
      <c r="V114">
        <v>1996</v>
      </c>
      <c r="W114">
        <v>22</v>
      </c>
      <c r="X114">
        <v>6</v>
      </c>
      <c r="Y114" t="s">
        <v>353</v>
      </c>
    </row>
    <row r="115" spans="1:26" x14ac:dyDescent="0.25">
      <c r="A115" t="s">
        <v>507</v>
      </c>
      <c r="B115" t="str">
        <f>_xlfn.IFNA(VLOOKUP(I115,WithCOI!A:B,2,FALSE),"No COI")</f>
        <v>With COI</v>
      </c>
      <c r="C115" t="str">
        <f>IF(_xlfn.IFNA(VLOOKUP(I115,WithITS2!A:A,1,FALSE),"None") = "None", "None","Yes")</f>
        <v>Yes</v>
      </c>
      <c r="D115" t="str">
        <f>IF(AND(B115="No COI",C115="Yes"),"Double check","OK")</f>
        <v>OK</v>
      </c>
      <c r="G115" t="s">
        <v>334</v>
      </c>
      <c r="H115" t="str">
        <f>G115</f>
        <v>Tg</v>
      </c>
      <c r="I115" t="s">
        <v>508</v>
      </c>
      <c r="J115" t="s">
        <v>508</v>
      </c>
      <c r="K115" t="s">
        <v>19</v>
      </c>
      <c r="L115" t="s">
        <v>20</v>
      </c>
      <c r="M115" t="s">
        <v>509</v>
      </c>
      <c r="N115" t="s">
        <v>510</v>
      </c>
      <c r="O115" t="s">
        <v>351</v>
      </c>
      <c r="P115" t="s">
        <v>352</v>
      </c>
      <c r="Q115">
        <v>13.68765</v>
      </c>
      <c r="R115">
        <v>120.88979999999999</v>
      </c>
      <c r="S115">
        <v>89</v>
      </c>
      <c r="T115">
        <v>28</v>
      </c>
      <c r="U115">
        <v>1990</v>
      </c>
      <c r="V115">
        <v>1996</v>
      </c>
      <c r="W115">
        <v>22</v>
      </c>
      <c r="X115">
        <v>6</v>
      </c>
      <c r="Y115" t="s">
        <v>353</v>
      </c>
    </row>
    <row r="116" spans="1:26" x14ac:dyDescent="0.25">
      <c r="A116" t="s">
        <v>511</v>
      </c>
      <c r="B116" t="str">
        <f>_xlfn.IFNA(VLOOKUP(I116,WithCOI!A:B,2,FALSE),"No COI")</f>
        <v>With COI</v>
      </c>
      <c r="C116" t="str">
        <f>IF(_xlfn.IFNA(VLOOKUP(I116,WithITS2!A:A,1,FALSE),"None") = "None", "None","Yes")</f>
        <v>Yes</v>
      </c>
      <c r="D116" t="str">
        <f>IF(AND(B116="No COI",C116="Yes"),"Double check","OK")</f>
        <v>OK</v>
      </c>
      <c r="G116" t="s">
        <v>334</v>
      </c>
      <c r="H116" t="str">
        <f>G116</f>
        <v>Tg</v>
      </c>
      <c r="I116" t="s">
        <v>512</v>
      </c>
      <c r="J116" t="s">
        <v>512</v>
      </c>
      <c r="K116" t="s">
        <v>19</v>
      </c>
      <c r="L116" t="s">
        <v>20</v>
      </c>
      <c r="M116" t="s">
        <v>513</v>
      </c>
      <c r="N116" t="s">
        <v>514</v>
      </c>
      <c r="O116" t="s">
        <v>167</v>
      </c>
      <c r="P116" t="s">
        <v>168</v>
      </c>
      <c r="Q116">
        <v>15.529866699999999</v>
      </c>
      <c r="R116">
        <v>119.92481669999999</v>
      </c>
      <c r="S116">
        <v>55</v>
      </c>
      <c r="T116">
        <v>20</v>
      </c>
      <c r="U116">
        <v>1998</v>
      </c>
      <c r="V116">
        <v>2002</v>
      </c>
      <c r="W116">
        <v>16</v>
      </c>
      <c r="X116">
        <v>4</v>
      </c>
      <c r="Y116" t="s">
        <v>366</v>
      </c>
      <c r="Z116" t="s">
        <v>515</v>
      </c>
    </row>
    <row r="117" spans="1:26" x14ac:dyDescent="0.25">
      <c r="A117" t="s">
        <v>516</v>
      </c>
      <c r="B117" t="str">
        <f>_xlfn.IFNA(VLOOKUP(I117,WithCOI!A:B,2,FALSE),"No COI")</f>
        <v>With COI</v>
      </c>
      <c r="C117" t="str">
        <f>IF(_xlfn.IFNA(VLOOKUP(I117,WithITS2!A:A,1,FALSE),"None") = "None", "None","Yes")</f>
        <v>Yes</v>
      </c>
      <c r="D117" t="str">
        <f>IF(AND(B117="No COI",C117="Yes"),"Double check","OK")</f>
        <v>OK</v>
      </c>
      <c r="G117" t="s">
        <v>334</v>
      </c>
      <c r="H117" t="str">
        <f>G117</f>
        <v>Tg</v>
      </c>
      <c r="I117" t="s">
        <v>517</v>
      </c>
      <c r="J117" t="s">
        <v>517</v>
      </c>
      <c r="K117" t="s">
        <v>19</v>
      </c>
      <c r="L117" t="s">
        <v>20</v>
      </c>
      <c r="M117" t="s">
        <v>518</v>
      </c>
      <c r="N117" t="s">
        <v>519</v>
      </c>
      <c r="O117" t="s">
        <v>167</v>
      </c>
      <c r="P117" t="s">
        <v>168</v>
      </c>
      <c r="Q117">
        <v>15.529866699999999</v>
      </c>
      <c r="R117">
        <v>119.92481669999999</v>
      </c>
      <c r="S117">
        <v>69</v>
      </c>
      <c r="T117">
        <v>20</v>
      </c>
      <c r="U117">
        <v>1998</v>
      </c>
      <c r="V117">
        <v>2002</v>
      </c>
      <c r="W117">
        <v>16</v>
      </c>
      <c r="X117">
        <v>4</v>
      </c>
      <c r="Y117" t="s">
        <v>366</v>
      </c>
      <c r="Z117" t="s">
        <v>515</v>
      </c>
    </row>
    <row r="118" spans="1:26" x14ac:dyDescent="0.25">
      <c r="A118" t="s">
        <v>520</v>
      </c>
      <c r="B118" t="str">
        <f>_xlfn.IFNA(VLOOKUP(I118,WithCOI!A:B,2,FALSE),"No COI")</f>
        <v>With COI</v>
      </c>
      <c r="C118" t="str">
        <f>IF(_xlfn.IFNA(VLOOKUP(I118,WithITS2!A:A,1,FALSE),"None") = "None", "None","Yes")</f>
        <v>Yes</v>
      </c>
      <c r="D118" t="str">
        <f>IF(AND(B118="No COI",C118="Yes"),"Double check","OK")</f>
        <v>OK</v>
      </c>
      <c r="G118" t="s">
        <v>334</v>
      </c>
      <c r="H118" t="str">
        <f>G118</f>
        <v>Tg</v>
      </c>
      <c r="I118" t="s">
        <v>521</v>
      </c>
      <c r="J118" t="s">
        <v>521</v>
      </c>
      <c r="K118" t="s">
        <v>19</v>
      </c>
      <c r="L118" t="s">
        <v>20</v>
      </c>
      <c r="M118" t="s">
        <v>522</v>
      </c>
      <c r="N118" t="s">
        <v>523</v>
      </c>
      <c r="O118" t="s">
        <v>167</v>
      </c>
      <c r="P118" t="s">
        <v>168</v>
      </c>
      <c r="Q118">
        <v>15.529866699999999</v>
      </c>
      <c r="R118">
        <v>119.92481669999999</v>
      </c>
      <c r="S118">
        <v>67</v>
      </c>
      <c r="T118">
        <v>20</v>
      </c>
      <c r="U118">
        <v>1998</v>
      </c>
      <c r="V118">
        <v>2002</v>
      </c>
      <c r="W118">
        <v>16</v>
      </c>
      <c r="X118">
        <v>4</v>
      </c>
      <c r="Y118" t="s">
        <v>366</v>
      </c>
      <c r="Z118" t="s">
        <v>515</v>
      </c>
    </row>
    <row r="119" spans="1:26" x14ac:dyDescent="0.25">
      <c r="A119" t="s">
        <v>524</v>
      </c>
      <c r="B119" t="str">
        <f>_xlfn.IFNA(VLOOKUP(I119,WithCOI!A:B,2,FALSE),"No COI")</f>
        <v>With COI</v>
      </c>
      <c r="C119" t="str">
        <f>IF(_xlfn.IFNA(VLOOKUP(I119,WithITS2!A:A,1,FALSE),"None") = "None", "None","Yes")</f>
        <v>Yes</v>
      </c>
      <c r="D119" t="str">
        <f>IF(AND(B119="No COI",C119="Yes"),"Double check","OK")</f>
        <v>OK</v>
      </c>
      <c r="G119" t="s">
        <v>334</v>
      </c>
      <c r="H119" t="str">
        <f>G119</f>
        <v>Tg</v>
      </c>
      <c r="I119" t="s">
        <v>525</v>
      </c>
      <c r="J119" t="s">
        <v>525</v>
      </c>
      <c r="K119" t="s">
        <v>19</v>
      </c>
      <c r="L119" t="s">
        <v>20</v>
      </c>
      <c r="M119" t="s">
        <v>526</v>
      </c>
      <c r="N119" t="s">
        <v>527</v>
      </c>
      <c r="O119" t="s">
        <v>289</v>
      </c>
      <c r="P119" t="s">
        <v>289</v>
      </c>
      <c r="Q119">
        <v>9.914205334</v>
      </c>
      <c r="R119">
        <v>118.877206</v>
      </c>
      <c r="S119">
        <v>73</v>
      </c>
      <c r="T119">
        <v>16</v>
      </c>
      <c r="U119">
        <v>2002</v>
      </c>
      <c r="V119">
        <v>2007</v>
      </c>
      <c r="W119">
        <v>11</v>
      </c>
      <c r="X119">
        <v>5</v>
      </c>
      <c r="Y119" t="s">
        <v>528</v>
      </c>
    </row>
    <row r="120" spans="1:26" x14ac:dyDescent="0.25">
      <c r="A120" t="s">
        <v>529</v>
      </c>
      <c r="B120" t="str">
        <f>_xlfn.IFNA(VLOOKUP(I120,WithCOI!A:B,2,FALSE),"No COI")</f>
        <v>With COI</v>
      </c>
      <c r="C120" t="str">
        <f>IF(_xlfn.IFNA(VLOOKUP(I120,WithITS2!A:A,1,FALSE),"None") = "None", "None","Yes")</f>
        <v>Yes</v>
      </c>
      <c r="D120" t="str">
        <f>IF(AND(B120="No COI",C120="Yes"),"Double check","OK")</f>
        <v>OK</v>
      </c>
      <c r="G120" t="s">
        <v>334</v>
      </c>
      <c r="H120" t="str">
        <f>G120</f>
        <v>Tg</v>
      </c>
      <c r="I120" t="s">
        <v>530</v>
      </c>
      <c r="J120" t="s">
        <v>530</v>
      </c>
      <c r="K120" t="s">
        <v>19</v>
      </c>
      <c r="L120" t="s">
        <v>20</v>
      </c>
      <c r="M120" t="s">
        <v>531</v>
      </c>
      <c r="N120" t="s">
        <v>532</v>
      </c>
      <c r="O120" t="s">
        <v>289</v>
      </c>
      <c r="P120" t="s">
        <v>289</v>
      </c>
      <c r="Q120">
        <v>9.914205334</v>
      </c>
      <c r="R120">
        <v>118.877206</v>
      </c>
      <c r="S120">
        <v>93</v>
      </c>
      <c r="T120">
        <v>16</v>
      </c>
      <c r="U120">
        <v>2002</v>
      </c>
      <c r="V120">
        <v>2007</v>
      </c>
      <c r="W120">
        <v>11</v>
      </c>
      <c r="X120">
        <v>5</v>
      </c>
      <c r="Y120" t="s">
        <v>528</v>
      </c>
    </row>
    <row r="121" spans="1:26" x14ac:dyDescent="0.25">
      <c r="A121" t="s">
        <v>533</v>
      </c>
      <c r="B121" t="str">
        <f>_xlfn.IFNA(VLOOKUP(I121,WithCOI!A:B,2,FALSE),"No COI")</f>
        <v>With COI</v>
      </c>
      <c r="C121" t="str">
        <f>IF(_xlfn.IFNA(VLOOKUP(I121,WithITS2!A:A,1,FALSE),"None") = "None", "None","Yes")</f>
        <v>Yes</v>
      </c>
      <c r="D121" t="str">
        <f>IF(AND(B121="No COI",C121="Yes"),"Double check","OK")</f>
        <v>OK</v>
      </c>
      <c r="G121" t="s">
        <v>334</v>
      </c>
      <c r="H121" t="str">
        <f>G121</f>
        <v>Tg</v>
      </c>
      <c r="I121" t="s">
        <v>534</v>
      </c>
      <c r="J121" t="s">
        <v>534</v>
      </c>
      <c r="K121" t="s">
        <v>19</v>
      </c>
      <c r="L121" t="s">
        <v>20</v>
      </c>
      <c r="M121" t="s">
        <v>535</v>
      </c>
      <c r="N121" t="s">
        <v>536</v>
      </c>
      <c r="O121" t="s">
        <v>289</v>
      </c>
      <c r="P121" t="s">
        <v>289</v>
      </c>
      <c r="Q121">
        <v>9.914205334</v>
      </c>
      <c r="R121">
        <v>118.877206</v>
      </c>
      <c r="S121">
        <v>78</v>
      </c>
      <c r="T121">
        <v>16</v>
      </c>
      <c r="U121">
        <v>2002</v>
      </c>
      <c r="V121">
        <v>2007</v>
      </c>
      <c r="W121">
        <v>11</v>
      </c>
      <c r="X121">
        <v>5</v>
      </c>
      <c r="Y121" t="s">
        <v>528</v>
      </c>
    </row>
    <row r="122" spans="1:26" x14ac:dyDescent="0.25">
      <c r="A122" t="s">
        <v>537</v>
      </c>
      <c r="B122" t="str">
        <f>_xlfn.IFNA(VLOOKUP(I122,WithCOI!A:B,2,FALSE),"No COI")</f>
        <v>No COI</v>
      </c>
      <c r="C122" t="str">
        <f>IF(_xlfn.IFNA(VLOOKUP(I122,WithITS2!A:A,1,FALSE),"None") = "None", "None","Yes")</f>
        <v>Yes</v>
      </c>
      <c r="D122" t="str">
        <f>IF(AND(B122="No COI",C122="Yes"),"Double check","OK")</f>
        <v>Double check</v>
      </c>
      <c r="E122" t="s">
        <v>940</v>
      </c>
      <c r="F122" t="s">
        <v>941</v>
      </c>
      <c r="G122" t="s">
        <v>334</v>
      </c>
      <c r="H122" t="s">
        <v>334</v>
      </c>
      <c r="I122" t="s">
        <v>538</v>
      </c>
      <c r="J122" t="s">
        <v>538</v>
      </c>
      <c r="K122" t="s">
        <v>19</v>
      </c>
      <c r="L122" t="s">
        <v>20</v>
      </c>
      <c r="M122" t="s">
        <v>539</v>
      </c>
      <c r="N122" t="s">
        <v>540</v>
      </c>
      <c r="O122" t="s">
        <v>24</v>
      </c>
      <c r="P122" t="s">
        <v>25</v>
      </c>
      <c r="Q122">
        <v>12.08708129</v>
      </c>
      <c r="R122">
        <v>121.3460231</v>
      </c>
      <c r="S122">
        <v>68</v>
      </c>
      <c r="T122">
        <v>16</v>
      </c>
      <c r="U122">
        <v>2002</v>
      </c>
      <c r="V122">
        <v>2009</v>
      </c>
      <c r="W122">
        <v>9</v>
      </c>
      <c r="X122">
        <v>7</v>
      </c>
      <c r="Y122" t="s">
        <v>379</v>
      </c>
      <c r="Z122" t="s">
        <v>541</v>
      </c>
    </row>
    <row r="123" spans="1:26" x14ac:dyDescent="0.25">
      <c r="A123" t="s">
        <v>542</v>
      </c>
      <c r="B123" t="str">
        <f>_xlfn.IFNA(VLOOKUP(I123,WithCOI!A:B,2,FALSE),"No COI")</f>
        <v>With COI</v>
      </c>
      <c r="C123" t="str">
        <f>IF(_xlfn.IFNA(VLOOKUP(I123,WithITS2!A:A,1,FALSE),"None") = "None", "None","Yes")</f>
        <v>Yes</v>
      </c>
      <c r="D123" t="str">
        <f>IF(AND(B123="No COI",C123="Yes"),"Double check","OK")</f>
        <v>OK</v>
      </c>
      <c r="G123" t="s">
        <v>334</v>
      </c>
      <c r="H123" t="str">
        <f>G123</f>
        <v>Tg</v>
      </c>
      <c r="I123" t="s">
        <v>543</v>
      </c>
      <c r="J123" t="s">
        <v>543</v>
      </c>
      <c r="K123" t="s">
        <v>19</v>
      </c>
      <c r="L123" t="s">
        <v>20</v>
      </c>
      <c r="M123" t="s">
        <v>544</v>
      </c>
      <c r="N123" t="s">
        <v>545</v>
      </c>
      <c r="O123" t="s">
        <v>24</v>
      </c>
      <c r="P123" t="s">
        <v>25</v>
      </c>
      <c r="Q123">
        <v>12.08708129</v>
      </c>
      <c r="R123">
        <v>121.3460231</v>
      </c>
      <c r="S123">
        <v>58</v>
      </c>
      <c r="T123">
        <v>16</v>
      </c>
      <c r="U123">
        <v>2002</v>
      </c>
      <c r="V123">
        <v>2009</v>
      </c>
      <c r="W123">
        <v>9</v>
      </c>
      <c r="X123">
        <v>7</v>
      </c>
      <c r="Y123" t="s">
        <v>379</v>
      </c>
      <c r="Z123" t="s">
        <v>541</v>
      </c>
    </row>
    <row r="124" spans="1:26" x14ac:dyDescent="0.25">
      <c r="A124" t="s">
        <v>546</v>
      </c>
      <c r="B124" t="str">
        <f>_xlfn.IFNA(VLOOKUP(I124,WithCOI!A:B,2,FALSE),"No COI")</f>
        <v>With COI</v>
      </c>
      <c r="C124" t="str">
        <f>IF(_xlfn.IFNA(VLOOKUP(I124,WithITS2!A:A,1,FALSE),"None") = "None", "None","Yes")</f>
        <v>Yes</v>
      </c>
      <c r="D124" t="str">
        <f>IF(AND(B124="No COI",C124="Yes"),"Double check","OK")</f>
        <v>OK</v>
      </c>
      <c r="G124" t="s">
        <v>334</v>
      </c>
      <c r="H124" t="str">
        <f>G124</f>
        <v>Tg</v>
      </c>
      <c r="I124" t="s">
        <v>547</v>
      </c>
      <c r="J124" t="s">
        <v>547</v>
      </c>
      <c r="K124" t="s">
        <v>19</v>
      </c>
      <c r="L124" t="s">
        <v>20</v>
      </c>
      <c r="M124" t="s">
        <v>548</v>
      </c>
      <c r="N124" t="s">
        <v>549</v>
      </c>
      <c r="O124" t="s">
        <v>24</v>
      </c>
      <c r="P124" t="s">
        <v>25</v>
      </c>
      <c r="Q124">
        <v>12.08708129</v>
      </c>
      <c r="R124">
        <v>121.3460231</v>
      </c>
      <c r="S124">
        <v>59</v>
      </c>
      <c r="T124">
        <v>16</v>
      </c>
      <c r="U124">
        <v>2002</v>
      </c>
      <c r="V124">
        <v>2009</v>
      </c>
      <c r="W124">
        <v>9</v>
      </c>
      <c r="X124">
        <v>7</v>
      </c>
      <c r="Y124" t="s">
        <v>379</v>
      </c>
      <c r="Z124" t="s">
        <v>541</v>
      </c>
    </row>
    <row r="125" spans="1:26" x14ac:dyDescent="0.25">
      <c r="A125" t="s">
        <v>550</v>
      </c>
      <c r="B125" t="str">
        <f>_xlfn.IFNA(VLOOKUP(I125,WithCOI!A:B,2,FALSE),"No COI")</f>
        <v>With COI</v>
      </c>
      <c r="C125" t="str">
        <f>IF(_xlfn.IFNA(VLOOKUP(I125,WithITS2!A:A,1,FALSE),"None") = "None", "None","Yes")</f>
        <v>Yes</v>
      </c>
      <c r="D125" t="str">
        <f>IF(AND(B125="No COI",C125="Yes"),"Double check","OK")</f>
        <v>OK</v>
      </c>
      <c r="G125" t="s">
        <v>334</v>
      </c>
      <c r="H125" t="str">
        <f>G125</f>
        <v>Tg</v>
      </c>
      <c r="I125" t="s">
        <v>551</v>
      </c>
      <c r="J125" t="s">
        <v>551</v>
      </c>
      <c r="K125" t="s">
        <v>19</v>
      </c>
      <c r="L125" t="s">
        <v>20</v>
      </c>
      <c r="M125" t="s">
        <v>552</v>
      </c>
      <c r="N125" t="s">
        <v>553</v>
      </c>
      <c r="O125" t="s">
        <v>100</v>
      </c>
      <c r="P125" t="s">
        <v>101</v>
      </c>
      <c r="Q125">
        <v>16.44411667</v>
      </c>
      <c r="R125">
        <v>119.92153329999999</v>
      </c>
      <c r="S125">
        <v>47</v>
      </c>
      <c r="T125">
        <v>9</v>
      </c>
      <c r="U125">
        <v>2009</v>
      </c>
      <c r="V125" t="s">
        <v>392</v>
      </c>
      <c r="W125">
        <v>0</v>
      </c>
      <c r="X125">
        <v>9</v>
      </c>
    </row>
    <row r="126" spans="1:26" x14ac:dyDescent="0.25">
      <c r="A126" t="s">
        <v>554</v>
      </c>
      <c r="B126" t="str">
        <f>_xlfn.IFNA(VLOOKUP(I126,WithCOI!A:B,2,FALSE),"No COI")</f>
        <v>With COI</v>
      </c>
      <c r="C126" t="str">
        <f>IF(_xlfn.IFNA(VLOOKUP(I126,WithITS2!A:A,1,FALSE),"None") = "None", "None","Yes")</f>
        <v>Yes</v>
      </c>
      <c r="D126" t="str">
        <f>IF(AND(B126="No COI",C126="Yes"),"Double check","OK")</f>
        <v>OK</v>
      </c>
      <c r="G126" t="s">
        <v>334</v>
      </c>
      <c r="H126" t="str">
        <f>G126</f>
        <v>Tg</v>
      </c>
      <c r="I126" t="s">
        <v>555</v>
      </c>
      <c r="J126" t="s">
        <v>555</v>
      </c>
      <c r="K126" t="s">
        <v>19</v>
      </c>
      <c r="L126" t="s">
        <v>20</v>
      </c>
      <c r="M126" t="s">
        <v>556</v>
      </c>
      <c r="N126" t="s">
        <v>557</v>
      </c>
      <c r="O126" t="s">
        <v>100</v>
      </c>
      <c r="P126" t="s">
        <v>101</v>
      </c>
      <c r="Q126">
        <v>16.44411667</v>
      </c>
      <c r="R126">
        <v>119.92153329999999</v>
      </c>
      <c r="S126">
        <v>52</v>
      </c>
      <c r="T126">
        <v>9</v>
      </c>
      <c r="U126">
        <v>2009</v>
      </c>
      <c r="V126" t="s">
        <v>392</v>
      </c>
      <c r="W126">
        <v>0</v>
      </c>
      <c r="X126">
        <v>9</v>
      </c>
    </row>
    <row r="127" spans="1:26" x14ac:dyDescent="0.25">
      <c r="A127" t="s">
        <v>558</v>
      </c>
      <c r="B127" t="str">
        <f>_xlfn.IFNA(VLOOKUP(I127,WithCOI!A:B,2,FALSE),"No COI")</f>
        <v>With COI</v>
      </c>
      <c r="C127" t="str">
        <f>IF(_xlfn.IFNA(VLOOKUP(I127,WithITS2!A:A,1,FALSE),"None") = "None", "None","Yes")</f>
        <v>Yes</v>
      </c>
      <c r="D127" t="str">
        <f>IF(AND(B127="No COI",C127="Yes"),"Double check","OK")</f>
        <v>OK</v>
      </c>
      <c r="G127" t="s">
        <v>334</v>
      </c>
      <c r="H127" t="str">
        <f>G127</f>
        <v>Tg</v>
      </c>
      <c r="I127" t="s">
        <v>559</v>
      </c>
      <c r="J127" t="s">
        <v>559</v>
      </c>
      <c r="K127" t="s">
        <v>19</v>
      </c>
      <c r="L127" t="s">
        <v>20</v>
      </c>
      <c r="M127" t="s">
        <v>560</v>
      </c>
      <c r="N127" t="s">
        <v>561</v>
      </c>
      <c r="O127" t="s">
        <v>100</v>
      </c>
      <c r="P127" t="s">
        <v>101</v>
      </c>
      <c r="Q127">
        <v>16.44411667</v>
      </c>
      <c r="R127">
        <v>119.92153329999999</v>
      </c>
      <c r="S127">
        <v>44</v>
      </c>
      <c r="T127">
        <v>9</v>
      </c>
      <c r="U127">
        <v>2009</v>
      </c>
      <c r="V127" t="s">
        <v>392</v>
      </c>
      <c r="W127">
        <v>0</v>
      </c>
      <c r="X127">
        <v>9</v>
      </c>
    </row>
    <row r="128" spans="1:26" x14ac:dyDescent="0.25">
      <c r="A128" t="s">
        <v>562</v>
      </c>
      <c r="B128" t="str">
        <f>_xlfn.IFNA(VLOOKUP(I128,WithCOI!A:B,2,FALSE),"No COI")</f>
        <v>With COI</v>
      </c>
      <c r="C128" t="str">
        <f>IF(_xlfn.IFNA(VLOOKUP(I128,WithITS2!A:A,1,FALSE),"None") = "None", "None","Yes")</f>
        <v>Yes</v>
      </c>
      <c r="D128" t="str">
        <f>IF(AND(B128="No COI",C128="Yes"),"Double check","OK")</f>
        <v>OK</v>
      </c>
      <c r="G128" t="s">
        <v>334</v>
      </c>
      <c r="H128" t="str">
        <f>G128</f>
        <v>Tg</v>
      </c>
      <c r="I128" t="s">
        <v>563</v>
      </c>
      <c r="J128" t="s">
        <v>563</v>
      </c>
      <c r="K128" t="s">
        <v>55</v>
      </c>
      <c r="L128" t="s">
        <v>56</v>
      </c>
      <c r="M128" t="s">
        <v>564</v>
      </c>
      <c r="N128" t="s">
        <v>565</v>
      </c>
      <c r="O128" t="s">
        <v>59</v>
      </c>
      <c r="P128" t="s">
        <v>59</v>
      </c>
      <c r="Q128">
        <v>9.6287333000000004</v>
      </c>
      <c r="R128">
        <v>123.8048167</v>
      </c>
      <c r="S128">
        <v>67</v>
      </c>
      <c r="T128">
        <v>14</v>
      </c>
      <c r="U128">
        <v>2004</v>
      </c>
      <c r="V128">
        <v>2013</v>
      </c>
      <c r="W128">
        <v>5</v>
      </c>
      <c r="X128">
        <v>9</v>
      </c>
      <c r="Y128" t="s">
        <v>566</v>
      </c>
      <c r="Z128" t="s">
        <v>541</v>
      </c>
    </row>
    <row r="129" spans="1:26" x14ac:dyDescent="0.25">
      <c r="A129" t="s">
        <v>567</v>
      </c>
      <c r="B129" t="str">
        <f>_xlfn.IFNA(VLOOKUP(I129,WithCOI!A:B,2,FALSE),"No COI")</f>
        <v>With COI</v>
      </c>
      <c r="C129" t="str">
        <f>IF(_xlfn.IFNA(VLOOKUP(I129,WithITS2!A:A,1,FALSE),"None") = "None", "None","Yes")</f>
        <v>Yes</v>
      </c>
      <c r="D129" t="str">
        <f>IF(AND(B129="No COI",C129="Yes"),"Double check","OK")</f>
        <v>OK</v>
      </c>
      <c r="G129" t="s">
        <v>334</v>
      </c>
      <c r="H129" t="str">
        <f>G129</f>
        <v>Tg</v>
      </c>
      <c r="I129" t="s">
        <v>568</v>
      </c>
      <c r="J129" t="s">
        <v>568</v>
      </c>
      <c r="K129" t="s">
        <v>55</v>
      </c>
      <c r="L129" t="s">
        <v>56</v>
      </c>
      <c r="M129" t="s">
        <v>569</v>
      </c>
      <c r="N129" t="s">
        <v>570</v>
      </c>
      <c r="O129" t="s">
        <v>59</v>
      </c>
      <c r="P129" t="s">
        <v>59</v>
      </c>
      <c r="Q129">
        <v>9.6287333000000004</v>
      </c>
      <c r="R129">
        <v>123.8048167</v>
      </c>
      <c r="S129">
        <v>67</v>
      </c>
      <c r="T129">
        <v>14</v>
      </c>
      <c r="U129">
        <v>2004</v>
      </c>
      <c r="V129">
        <v>2013</v>
      </c>
      <c r="W129">
        <v>5</v>
      </c>
      <c r="X129">
        <v>9</v>
      </c>
      <c r="Y129" t="s">
        <v>566</v>
      </c>
      <c r="Z129" t="s">
        <v>541</v>
      </c>
    </row>
    <row r="130" spans="1:26" x14ac:dyDescent="0.25">
      <c r="A130" t="s">
        <v>571</v>
      </c>
      <c r="B130" t="str">
        <f>_xlfn.IFNA(VLOOKUP(I130,WithCOI!A:B,2,FALSE),"No COI")</f>
        <v>With COI</v>
      </c>
      <c r="C130" t="str">
        <f>IF(_xlfn.IFNA(VLOOKUP(I130,WithITS2!A:A,1,FALSE),"None") = "None", "None","Yes")</f>
        <v>Yes</v>
      </c>
      <c r="D130" t="str">
        <f>IF(AND(B130="No COI",C130="Yes"),"Double check","OK")</f>
        <v>OK</v>
      </c>
      <c r="G130" t="s">
        <v>334</v>
      </c>
      <c r="H130" t="str">
        <f>G130</f>
        <v>Tg</v>
      </c>
      <c r="I130" t="s">
        <v>572</v>
      </c>
      <c r="J130" t="s">
        <v>572</v>
      </c>
      <c r="K130" t="s">
        <v>55</v>
      </c>
      <c r="L130" t="s">
        <v>56</v>
      </c>
      <c r="M130" t="s">
        <v>573</v>
      </c>
      <c r="N130" t="s">
        <v>574</v>
      </c>
      <c r="O130" t="s">
        <v>59</v>
      </c>
      <c r="P130" t="s">
        <v>59</v>
      </c>
      <c r="Q130">
        <v>9.6287333000000004</v>
      </c>
      <c r="R130">
        <v>123.8048167</v>
      </c>
      <c r="S130">
        <v>67</v>
      </c>
      <c r="T130">
        <v>14</v>
      </c>
      <c r="U130">
        <v>2004</v>
      </c>
      <c r="V130">
        <v>2013</v>
      </c>
      <c r="W130">
        <v>5</v>
      </c>
      <c r="X130">
        <v>9</v>
      </c>
      <c r="Y130" t="s">
        <v>566</v>
      </c>
      <c r="Z130" t="s">
        <v>541</v>
      </c>
    </row>
    <row r="131" spans="1:26" x14ac:dyDescent="0.25">
      <c r="A131" t="s">
        <v>575</v>
      </c>
      <c r="B131" t="str">
        <f>_xlfn.IFNA(VLOOKUP(I131,WithCOI!A:B,2,FALSE),"No COI")</f>
        <v>With COI</v>
      </c>
      <c r="C131" t="str">
        <f>IF(_xlfn.IFNA(VLOOKUP(I131,WithITS2!A:A,1,FALSE),"None") = "None", "None","Yes")</f>
        <v>Yes</v>
      </c>
      <c r="D131" t="str">
        <f>IF(AND(B131="No COI",C131="Yes"),"Double check","OK")</f>
        <v>OK</v>
      </c>
      <c r="G131" t="s">
        <v>334</v>
      </c>
      <c r="H131" t="str">
        <f>G131</f>
        <v>Tg</v>
      </c>
      <c r="I131" t="s">
        <v>576</v>
      </c>
      <c r="J131" t="s">
        <v>576</v>
      </c>
      <c r="K131" t="s">
        <v>55</v>
      </c>
      <c r="L131" t="s">
        <v>56</v>
      </c>
      <c r="M131" t="s">
        <v>577</v>
      </c>
      <c r="N131" t="s">
        <v>578</v>
      </c>
      <c r="O131" t="s">
        <v>72</v>
      </c>
      <c r="P131" t="s">
        <v>72</v>
      </c>
      <c r="Q131">
        <v>9.1074134390000001</v>
      </c>
      <c r="R131">
        <v>124.8032036</v>
      </c>
      <c r="S131">
        <v>97</v>
      </c>
      <c r="T131">
        <v>20</v>
      </c>
      <c r="U131">
        <v>1998</v>
      </c>
      <c r="V131">
        <v>2001</v>
      </c>
      <c r="W131">
        <v>17</v>
      </c>
      <c r="X131">
        <v>3</v>
      </c>
      <c r="Y131" t="s">
        <v>72</v>
      </c>
    </row>
    <row r="132" spans="1:26" x14ac:dyDescent="0.25">
      <c r="A132" t="s">
        <v>579</v>
      </c>
      <c r="B132" t="str">
        <f>_xlfn.IFNA(VLOOKUP(I132,WithCOI!A:B,2,FALSE),"No COI")</f>
        <v>With COI</v>
      </c>
      <c r="C132" t="str">
        <f>IF(_xlfn.IFNA(VLOOKUP(I132,WithITS2!A:A,1,FALSE),"None") = "None", "None","Yes")</f>
        <v>Yes</v>
      </c>
      <c r="D132" t="str">
        <f>IF(AND(B132="No COI",C132="Yes"),"Double check","OK")</f>
        <v>OK</v>
      </c>
      <c r="G132" t="s">
        <v>334</v>
      </c>
      <c r="H132" t="str">
        <f>G132</f>
        <v>Tg</v>
      </c>
      <c r="I132" t="s">
        <v>580</v>
      </c>
      <c r="J132" t="s">
        <v>580</v>
      </c>
      <c r="K132" t="s">
        <v>55</v>
      </c>
      <c r="L132" t="s">
        <v>56</v>
      </c>
      <c r="M132" t="s">
        <v>581</v>
      </c>
      <c r="N132" t="s">
        <v>582</v>
      </c>
      <c r="O132" t="s">
        <v>72</v>
      </c>
      <c r="P132" t="s">
        <v>72</v>
      </c>
      <c r="Q132">
        <v>9.1074134390000001</v>
      </c>
      <c r="R132">
        <v>124.8032036</v>
      </c>
      <c r="S132">
        <v>89</v>
      </c>
      <c r="T132">
        <v>20</v>
      </c>
      <c r="U132">
        <v>1998</v>
      </c>
      <c r="V132">
        <v>2001</v>
      </c>
      <c r="W132">
        <v>17</v>
      </c>
      <c r="X132">
        <v>3</v>
      </c>
      <c r="Y132" t="s">
        <v>72</v>
      </c>
    </row>
    <row r="133" spans="1:26" x14ac:dyDescent="0.25">
      <c r="A133" t="s">
        <v>583</v>
      </c>
      <c r="B133" t="str">
        <f>_xlfn.IFNA(VLOOKUP(I133,WithCOI!A:B,2,FALSE),"No COI")</f>
        <v>With COI</v>
      </c>
      <c r="C133" t="str">
        <f>IF(_xlfn.IFNA(VLOOKUP(I133,WithITS2!A:A,1,FALSE),"None") = "None", "None","Yes")</f>
        <v>Yes</v>
      </c>
      <c r="D133" t="str">
        <f>IF(AND(B133="No COI",C133="Yes"),"Double check","OK")</f>
        <v>OK</v>
      </c>
      <c r="G133" t="s">
        <v>334</v>
      </c>
      <c r="H133" t="str">
        <f>G133</f>
        <v>Tg</v>
      </c>
      <c r="I133" t="s">
        <v>584</v>
      </c>
      <c r="J133" t="s">
        <v>584</v>
      </c>
      <c r="K133" t="s">
        <v>55</v>
      </c>
      <c r="L133" t="s">
        <v>56</v>
      </c>
      <c r="M133" t="s">
        <v>585</v>
      </c>
      <c r="N133" t="s">
        <v>586</v>
      </c>
      <c r="O133" t="s">
        <v>72</v>
      </c>
      <c r="P133" t="s">
        <v>72</v>
      </c>
      <c r="Q133">
        <v>9.1074134390000001</v>
      </c>
      <c r="R133">
        <v>124.8032036</v>
      </c>
      <c r="S133">
        <v>89</v>
      </c>
      <c r="T133">
        <v>20</v>
      </c>
      <c r="U133">
        <v>1998</v>
      </c>
      <c r="V133">
        <v>2001</v>
      </c>
      <c r="W133">
        <v>17</v>
      </c>
      <c r="X133">
        <v>3</v>
      </c>
      <c r="Y133" t="s">
        <v>72</v>
      </c>
    </row>
    <row r="134" spans="1:26" x14ac:dyDescent="0.25">
      <c r="A134" t="s">
        <v>587</v>
      </c>
      <c r="B134" t="str">
        <f>_xlfn.IFNA(VLOOKUP(I134,WithCOI!A:B,2,FALSE),"No COI")</f>
        <v>With COI</v>
      </c>
      <c r="C134" t="str">
        <f>IF(_xlfn.IFNA(VLOOKUP(I134,WithITS2!A:A,1,FALSE),"None") = "None", "None","Yes")</f>
        <v>Yes</v>
      </c>
      <c r="D134" t="str">
        <f>IF(AND(B134="No COI",C134="Yes"),"Double check","OK")</f>
        <v>OK</v>
      </c>
      <c r="G134" t="s">
        <v>334</v>
      </c>
      <c r="H134" t="str">
        <f>G134</f>
        <v>Tg</v>
      </c>
      <c r="I134" t="s">
        <v>588</v>
      </c>
      <c r="J134" t="s">
        <v>588</v>
      </c>
      <c r="K134" t="s">
        <v>55</v>
      </c>
      <c r="L134" t="s">
        <v>56</v>
      </c>
      <c r="M134" t="s">
        <v>589</v>
      </c>
      <c r="N134" t="s">
        <v>590</v>
      </c>
      <c r="O134" t="s">
        <v>72</v>
      </c>
      <c r="P134" t="s">
        <v>72</v>
      </c>
      <c r="Q134">
        <v>9.1074134390000001</v>
      </c>
      <c r="R134">
        <v>124.8032036</v>
      </c>
      <c r="S134">
        <v>36</v>
      </c>
      <c r="T134">
        <v>3</v>
      </c>
      <c r="U134" t="s">
        <v>591</v>
      </c>
      <c r="V134">
        <v>2020</v>
      </c>
      <c r="W134">
        <v>0</v>
      </c>
      <c r="X134">
        <v>3</v>
      </c>
      <c r="Y134" t="s">
        <v>72</v>
      </c>
    </row>
    <row r="135" spans="1:26" x14ac:dyDescent="0.25">
      <c r="A135" t="s">
        <v>592</v>
      </c>
      <c r="B135" t="str">
        <f>_xlfn.IFNA(VLOOKUP(I135,WithCOI!A:B,2,FALSE),"No COI")</f>
        <v>With COI</v>
      </c>
      <c r="C135" t="str">
        <f>IF(_xlfn.IFNA(VLOOKUP(I135,WithITS2!A:A,1,FALSE),"None") = "None", "None","Yes")</f>
        <v>Yes</v>
      </c>
      <c r="D135" t="str">
        <f>IF(AND(B135="No COI",C135="Yes"),"Double check","OK")</f>
        <v>OK</v>
      </c>
      <c r="G135" t="s">
        <v>334</v>
      </c>
      <c r="H135" t="str">
        <f>G135</f>
        <v>Tg</v>
      </c>
      <c r="I135" t="s">
        <v>593</v>
      </c>
      <c r="J135" t="s">
        <v>593</v>
      </c>
      <c r="K135" t="s">
        <v>55</v>
      </c>
      <c r="L135" t="s">
        <v>56</v>
      </c>
      <c r="M135" t="s">
        <v>594</v>
      </c>
      <c r="N135" t="s">
        <v>595</v>
      </c>
      <c r="O135" t="s">
        <v>72</v>
      </c>
      <c r="P135" t="s">
        <v>72</v>
      </c>
      <c r="Q135">
        <v>9.1074134390000001</v>
      </c>
      <c r="R135">
        <v>124.8032036</v>
      </c>
      <c r="S135">
        <v>36</v>
      </c>
      <c r="T135">
        <v>3</v>
      </c>
      <c r="U135" t="s">
        <v>591</v>
      </c>
      <c r="V135">
        <v>2020</v>
      </c>
      <c r="W135">
        <v>0</v>
      </c>
      <c r="X135">
        <v>3</v>
      </c>
      <c r="Y135" t="s">
        <v>72</v>
      </c>
    </row>
    <row r="136" spans="1:26" x14ac:dyDescent="0.25">
      <c r="A136" t="s">
        <v>596</v>
      </c>
      <c r="B136" t="str">
        <f>_xlfn.IFNA(VLOOKUP(I136,WithCOI!A:B,2,FALSE),"No COI")</f>
        <v>With COI</v>
      </c>
      <c r="C136" t="str">
        <f>IF(_xlfn.IFNA(VLOOKUP(I136,WithITS2!A:A,1,FALSE),"None") = "None", "None","Yes")</f>
        <v>Yes</v>
      </c>
      <c r="D136" t="str">
        <f>IF(AND(B136="No COI",C136="Yes"),"Double check","OK")</f>
        <v>OK</v>
      </c>
      <c r="G136" t="s">
        <v>334</v>
      </c>
      <c r="H136" t="str">
        <f>G136</f>
        <v>Tg</v>
      </c>
      <c r="I136" t="s">
        <v>597</v>
      </c>
      <c r="J136" t="s">
        <v>597</v>
      </c>
      <c r="K136" t="s">
        <v>55</v>
      </c>
      <c r="L136" t="s">
        <v>56</v>
      </c>
      <c r="M136" t="s">
        <v>598</v>
      </c>
      <c r="N136" t="s">
        <v>599</v>
      </c>
      <c r="O136" t="s">
        <v>72</v>
      </c>
      <c r="P136" t="s">
        <v>72</v>
      </c>
      <c r="Q136">
        <v>9.1074134390000001</v>
      </c>
      <c r="R136">
        <v>124.8032036</v>
      </c>
      <c r="S136">
        <v>33</v>
      </c>
      <c r="T136">
        <v>3</v>
      </c>
      <c r="U136" t="s">
        <v>591</v>
      </c>
      <c r="V136">
        <v>2020</v>
      </c>
      <c r="W136">
        <v>0</v>
      </c>
      <c r="X136">
        <v>3</v>
      </c>
      <c r="Y136" t="s">
        <v>72</v>
      </c>
    </row>
    <row r="137" spans="1:26" x14ac:dyDescent="0.25">
      <c r="A137" t="s">
        <v>600</v>
      </c>
      <c r="B137" t="str">
        <f>_xlfn.IFNA(VLOOKUP(I137,WithCOI!A:B,2,FALSE),"No COI")</f>
        <v>No COI</v>
      </c>
      <c r="C137" t="str">
        <f>IF(_xlfn.IFNA(VLOOKUP(I137,WithITS2!A:A,1,FALSE),"None") = "None", "None","Yes")</f>
        <v>Yes</v>
      </c>
      <c r="D137" t="str">
        <f>IF(AND(B137="No COI",C137="Yes"),"Double check","OK")</f>
        <v>Double check</v>
      </c>
      <c r="E137" t="s">
        <v>940</v>
      </c>
      <c r="F137" t="s">
        <v>941</v>
      </c>
      <c r="G137" t="s">
        <v>334</v>
      </c>
      <c r="H137" t="s">
        <v>334</v>
      </c>
      <c r="I137" t="s">
        <v>601</v>
      </c>
      <c r="J137" t="s">
        <v>601</v>
      </c>
      <c r="K137" t="s">
        <v>55</v>
      </c>
      <c r="L137" t="s">
        <v>56</v>
      </c>
      <c r="M137" t="s">
        <v>602</v>
      </c>
      <c r="N137" t="s">
        <v>603</v>
      </c>
      <c r="O137" t="s">
        <v>85</v>
      </c>
      <c r="P137" t="s">
        <v>86</v>
      </c>
      <c r="Q137">
        <v>11.058299999999999</v>
      </c>
      <c r="R137">
        <v>125.6537</v>
      </c>
      <c r="S137">
        <v>82</v>
      </c>
      <c r="T137">
        <v>17</v>
      </c>
      <c r="U137">
        <v>2001</v>
      </c>
      <c r="V137">
        <v>2002</v>
      </c>
      <c r="W137">
        <v>16</v>
      </c>
      <c r="X137">
        <v>1</v>
      </c>
      <c r="Y137" t="s">
        <v>604</v>
      </c>
      <c r="Z137" t="s">
        <v>515</v>
      </c>
    </row>
    <row r="138" spans="1:26" x14ac:dyDescent="0.25">
      <c r="A138" t="s">
        <v>605</v>
      </c>
      <c r="B138" t="str">
        <f>_xlfn.IFNA(VLOOKUP(I138,WithCOI!A:B,2,FALSE),"No COI")</f>
        <v>With COI</v>
      </c>
      <c r="C138" t="str">
        <f>IF(_xlfn.IFNA(VLOOKUP(I138,WithITS2!A:A,1,FALSE),"None") = "None", "None","Yes")</f>
        <v>Yes</v>
      </c>
      <c r="D138" t="str">
        <f>IF(AND(B138="No COI",C138="Yes"),"Double check","OK")</f>
        <v>OK</v>
      </c>
      <c r="G138" t="s">
        <v>334</v>
      </c>
      <c r="H138" t="str">
        <f>G138</f>
        <v>Tg</v>
      </c>
      <c r="I138" t="s">
        <v>606</v>
      </c>
      <c r="J138" t="s">
        <v>606</v>
      </c>
      <c r="K138" t="s">
        <v>55</v>
      </c>
      <c r="L138" t="s">
        <v>56</v>
      </c>
      <c r="M138" t="s">
        <v>607</v>
      </c>
      <c r="N138" t="s">
        <v>608</v>
      </c>
      <c r="O138" t="s">
        <v>85</v>
      </c>
      <c r="P138" t="s">
        <v>86</v>
      </c>
      <c r="Q138">
        <v>11.058299999999999</v>
      </c>
      <c r="R138">
        <v>125.6537</v>
      </c>
      <c r="S138">
        <v>70</v>
      </c>
      <c r="T138">
        <v>17</v>
      </c>
      <c r="U138">
        <v>2001</v>
      </c>
      <c r="V138">
        <v>2002</v>
      </c>
      <c r="W138">
        <v>16</v>
      </c>
      <c r="X138">
        <v>1</v>
      </c>
      <c r="Y138" t="s">
        <v>604</v>
      </c>
      <c r="Z138" t="s">
        <v>515</v>
      </c>
    </row>
    <row r="139" spans="1:26" x14ac:dyDescent="0.25">
      <c r="A139" t="s">
        <v>609</v>
      </c>
      <c r="B139" t="str">
        <f>_xlfn.IFNA(VLOOKUP(I139,WithCOI!A:B,2,FALSE),"No COI")</f>
        <v>With COI</v>
      </c>
      <c r="C139" t="str">
        <f>IF(_xlfn.IFNA(VLOOKUP(I139,WithITS2!A:A,1,FALSE),"None") = "None", "None","Yes")</f>
        <v>Yes</v>
      </c>
      <c r="D139" t="str">
        <f>IF(AND(B139="No COI",C139="Yes"),"Double check","OK")</f>
        <v>OK</v>
      </c>
      <c r="G139" t="s">
        <v>334</v>
      </c>
      <c r="H139" t="str">
        <f>G139</f>
        <v>Tg</v>
      </c>
      <c r="I139" t="s">
        <v>610</v>
      </c>
      <c r="J139" t="s">
        <v>610</v>
      </c>
      <c r="K139" t="s">
        <v>55</v>
      </c>
      <c r="L139" t="s">
        <v>56</v>
      </c>
      <c r="M139" t="s">
        <v>611</v>
      </c>
      <c r="N139" t="s">
        <v>612</v>
      </c>
      <c r="O139" t="s">
        <v>85</v>
      </c>
      <c r="P139" t="s">
        <v>86</v>
      </c>
      <c r="Q139">
        <v>11.058299999999999</v>
      </c>
      <c r="R139">
        <v>125.6537</v>
      </c>
      <c r="S139">
        <v>63</v>
      </c>
      <c r="T139">
        <v>17</v>
      </c>
      <c r="U139">
        <v>2001</v>
      </c>
      <c r="V139">
        <v>2002</v>
      </c>
      <c r="W139">
        <v>16</v>
      </c>
      <c r="X139">
        <v>1</v>
      </c>
      <c r="Y139" t="s">
        <v>604</v>
      </c>
      <c r="Z139" t="s">
        <v>515</v>
      </c>
    </row>
    <row r="140" spans="1:26" x14ac:dyDescent="0.25">
      <c r="A140" t="s">
        <v>613</v>
      </c>
      <c r="B140" t="str">
        <f>_xlfn.IFNA(VLOOKUP(I140,WithCOI!A:B,2,FALSE),"No COI")</f>
        <v>With COI</v>
      </c>
      <c r="C140" t="str">
        <f>IF(_xlfn.IFNA(VLOOKUP(I140,WithITS2!A:A,1,FALSE),"None") = "None", "None","Yes")</f>
        <v>Yes</v>
      </c>
      <c r="D140" t="str">
        <f>IF(AND(B140="No COI",C140="Yes"),"Double check","OK")</f>
        <v>OK</v>
      </c>
      <c r="G140" t="s">
        <v>617</v>
      </c>
      <c r="H140" t="str">
        <f>G140</f>
        <v>Tm</v>
      </c>
      <c r="I140" t="s">
        <v>614</v>
      </c>
      <c r="J140" t="s">
        <v>614</v>
      </c>
      <c r="K140" t="s">
        <v>19</v>
      </c>
      <c r="L140" t="s">
        <v>20</v>
      </c>
      <c r="M140" t="s">
        <v>615</v>
      </c>
      <c r="N140" t="s">
        <v>616</v>
      </c>
      <c r="O140" t="s">
        <v>193</v>
      </c>
      <c r="P140" t="s">
        <v>32</v>
      </c>
      <c r="Q140">
        <v>12.661616670000001</v>
      </c>
      <c r="R140">
        <v>120.41678330000001</v>
      </c>
    </row>
    <row r="141" spans="1:26" x14ac:dyDescent="0.25">
      <c r="A141" t="s">
        <v>618</v>
      </c>
      <c r="B141" t="str">
        <f>_xlfn.IFNA(VLOOKUP(I141,WithCOI!A:B,2,FALSE),"No COI")</f>
        <v>With COI</v>
      </c>
      <c r="C141" t="str">
        <f>IF(_xlfn.IFNA(VLOOKUP(I141,WithITS2!A:A,1,FALSE),"None") = "None", "None","Yes")</f>
        <v>Yes</v>
      </c>
      <c r="D141" t="str">
        <f>IF(AND(B141="No COI",C141="Yes"),"Double check","OK")</f>
        <v>OK</v>
      </c>
      <c r="G141" t="s">
        <v>617</v>
      </c>
      <c r="H141" t="str">
        <f>G141</f>
        <v>Tm</v>
      </c>
      <c r="I141" t="s">
        <v>619</v>
      </c>
      <c r="J141" t="s">
        <v>619</v>
      </c>
      <c r="K141" t="s">
        <v>19</v>
      </c>
      <c r="L141" t="s">
        <v>20</v>
      </c>
      <c r="M141" t="s">
        <v>620</v>
      </c>
      <c r="N141" t="s">
        <v>621</v>
      </c>
      <c r="O141" t="s">
        <v>158</v>
      </c>
      <c r="P141" t="s">
        <v>32</v>
      </c>
      <c r="Q141">
        <v>12.639566670000001</v>
      </c>
      <c r="R141">
        <v>120.4516167</v>
      </c>
    </row>
    <row r="142" spans="1:26" x14ac:dyDescent="0.25">
      <c r="A142" t="s">
        <v>622</v>
      </c>
      <c r="B142" t="str">
        <f>_xlfn.IFNA(VLOOKUP(I142,WithCOI!A:B,2,FALSE),"No COI")</f>
        <v>With COI</v>
      </c>
      <c r="C142" t="str">
        <f>IF(_xlfn.IFNA(VLOOKUP(I142,WithITS2!A:A,1,FALSE),"None") = "None", "None","Yes")</f>
        <v>Yes</v>
      </c>
      <c r="D142" t="str">
        <f>IF(AND(B142="No COI",C142="Yes"),"Double check","OK")</f>
        <v>OK</v>
      </c>
      <c r="G142" t="s">
        <v>617</v>
      </c>
      <c r="H142" t="str">
        <f>G142</f>
        <v>Tm</v>
      </c>
      <c r="I142" t="s">
        <v>623</v>
      </c>
      <c r="J142" t="s">
        <v>623</v>
      </c>
      <c r="K142" t="s">
        <v>19</v>
      </c>
      <c r="L142" t="s">
        <v>20</v>
      </c>
      <c r="M142" t="s">
        <v>624</v>
      </c>
      <c r="N142" t="s">
        <v>625</v>
      </c>
      <c r="O142" t="s">
        <v>158</v>
      </c>
      <c r="P142" t="s">
        <v>32</v>
      </c>
      <c r="Q142">
        <v>12.639566670000001</v>
      </c>
      <c r="R142">
        <v>120.4516167</v>
      </c>
    </row>
    <row r="143" spans="1:26" x14ac:dyDescent="0.25">
      <c r="A143" t="s">
        <v>626</v>
      </c>
      <c r="B143" t="str">
        <f>_xlfn.IFNA(VLOOKUP(I143,WithCOI!A:B,2,FALSE),"No COI")</f>
        <v>With COI</v>
      </c>
      <c r="C143" t="str">
        <f>IF(_xlfn.IFNA(VLOOKUP(I143,WithITS2!A:A,1,FALSE),"None") = "None", "None","Yes")</f>
        <v>Yes</v>
      </c>
      <c r="D143" t="str">
        <f>IF(AND(B143="No COI",C143="Yes"),"Double check","OK")</f>
        <v>OK</v>
      </c>
      <c r="G143" t="s">
        <v>617</v>
      </c>
      <c r="H143" t="str">
        <f>G143</f>
        <v>Tm</v>
      </c>
      <c r="I143" t="s">
        <v>627</v>
      </c>
      <c r="J143" t="s">
        <v>627</v>
      </c>
      <c r="K143" t="s">
        <v>19</v>
      </c>
      <c r="L143" t="s">
        <v>20</v>
      </c>
      <c r="M143" t="s">
        <v>628</v>
      </c>
      <c r="N143" t="s">
        <v>629</v>
      </c>
      <c r="O143" t="s">
        <v>158</v>
      </c>
      <c r="P143" t="s">
        <v>32</v>
      </c>
      <c r="Q143">
        <v>12.639566670000001</v>
      </c>
      <c r="R143">
        <v>120.4516167</v>
      </c>
    </row>
    <row r="144" spans="1:26" x14ac:dyDescent="0.25">
      <c r="A144" t="s">
        <v>630</v>
      </c>
      <c r="B144" t="str">
        <f>_xlfn.IFNA(VLOOKUP(I144,WithCOI!A:B,2,FALSE),"No COI")</f>
        <v>With COI</v>
      </c>
      <c r="C144" t="str">
        <f>IF(_xlfn.IFNA(VLOOKUP(I144,WithITS2!A:A,1,FALSE),"None") = "None", "None","Yes")</f>
        <v>Yes</v>
      </c>
      <c r="D144" t="str">
        <f>IF(AND(B144="No COI",C144="Yes"),"Double check","OK")</f>
        <v>OK</v>
      </c>
      <c r="G144" t="s">
        <v>617</v>
      </c>
      <c r="H144" t="str">
        <f>G144</f>
        <v>Tm</v>
      </c>
      <c r="I144" t="s">
        <v>631</v>
      </c>
      <c r="J144" t="s">
        <v>631</v>
      </c>
      <c r="K144" t="s">
        <v>19</v>
      </c>
      <c r="L144" t="s">
        <v>20</v>
      </c>
      <c r="M144" t="s">
        <v>632</v>
      </c>
      <c r="N144" t="s">
        <v>633</v>
      </c>
      <c r="O144" t="s">
        <v>158</v>
      </c>
      <c r="P144" t="s">
        <v>32</v>
      </c>
      <c r="Q144">
        <v>12.639566670000001</v>
      </c>
      <c r="R144">
        <v>120.4516167</v>
      </c>
    </row>
    <row r="145" spans="1:18" x14ac:dyDescent="0.25">
      <c r="A145" t="s">
        <v>634</v>
      </c>
      <c r="B145" t="str">
        <f>_xlfn.IFNA(VLOOKUP(I145,WithCOI!A:B,2,FALSE),"No COI")</f>
        <v>With COI</v>
      </c>
      <c r="C145" t="str">
        <f>IF(_xlfn.IFNA(VLOOKUP(I145,WithITS2!A:A,1,FALSE),"None") = "None", "None","Yes")</f>
        <v>Yes</v>
      </c>
      <c r="D145" t="str">
        <f>IF(AND(B145="No COI",C145="Yes"),"Double check","OK")</f>
        <v>OK</v>
      </c>
      <c r="G145" t="s">
        <v>617</v>
      </c>
      <c r="H145" t="str">
        <f>G145</f>
        <v>Tm</v>
      </c>
      <c r="I145" t="s">
        <v>635</v>
      </c>
      <c r="J145" t="s">
        <v>635</v>
      </c>
      <c r="K145" t="s">
        <v>19</v>
      </c>
      <c r="L145" t="s">
        <v>20</v>
      </c>
      <c r="M145" t="s">
        <v>636</v>
      </c>
      <c r="N145" t="s">
        <v>637</v>
      </c>
      <c r="O145" t="s">
        <v>489</v>
      </c>
      <c r="P145" t="s">
        <v>352</v>
      </c>
      <c r="Q145">
        <v>13.80308333</v>
      </c>
      <c r="R145">
        <v>120.9117833</v>
      </c>
    </row>
    <row r="146" spans="1:18" x14ac:dyDescent="0.25">
      <c r="A146" t="s">
        <v>638</v>
      </c>
      <c r="B146" t="str">
        <f>_xlfn.IFNA(VLOOKUP(I146,WithCOI!A:B,2,FALSE),"No COI")</f>
        <v>With COI</v>
      </c>
      <c r="C146" t="str">
        <f>IF(_xlfn.IFNA(VLOOKUP(I146,WithITS2!A:A,1,FALSE),"None") = "None", "None","Yes")</f>
        <v>Yes</v>
      </c>
      <c r="D146" t="str">
        <f>IF(AND(B146="No COI",C146="Yes"),"Double check","OK")</f>
        <v>OK</v>
      </c>
      <c r="G146" t="s">
        <v>617</v>
      </c>
      <c r="H146" t="str">
        <f>G146</f>
        <v>Tm</v>
      </c>
      <c r="I146" t="s">
        <v>639</v>
      </c>
      <c r="J146" t="s">
        <v>639</v>
      </c>
      <c r="K146" t="s">
        <v>19</v>
      </c>
      <c r="L146" t="s">
        <v>20</v>
      </c>
      <c r="M146" t="s">
        <v>640</v>
      </c>
      <c r="N146" t="s">
        <v>641</v>
      </c>
      <c r="O146" t="s">
        <v>489</v>
      </c>
      <c r="P146" t="s">
        <v>352</v>
      </c>
      <c r="Q146">
        <v>13.80308333</v>
      </c>
      <c r="R146">
        <v>120.9117833</v>
      </c>
    </row>
    <row r="147" spans="1:18" x14ac:dyDescent="0.25">
      <c r="A147" t="s">
        <v>642</v>
      </c>
      <c r="B147" t="str">
        <f>_xlfn.IFNA(VLOOKUP(I147,WithCOI!A:B,2,FALSE),"No COI")</f>
        <v>With COI</v>
      </c>
      <c r="C147" t="str">
        <f>IF(_xlfn.IFNA(VLOOKUP(I147,WithITS2!A:A,1,FALSE),"None") = "None", "None","Yes")</f>
        <v>Yes</v>
      </c>
      <c r="D147" t="str">
        <f>IF(AND(B147="No COI",C147="Yes"),"Double check","OK")</f>
        <v>OK</v>
      </c>
      <c r="E147" t="s">
        <v>948</v>
      </c>
      <c r="F147" t="s">
        <v>931</v>
      </c>
      <c r="G147" t="s">
        <v>617</v>
      </c>
      <c r="H147" t="s">
        <v>617</v>
      </c>
      <c r="I147" t="s">
        <v>643</v>
      </c>
      <c r="J147" t="s">
        <v>643</v>
      </c>
      <c r="K147" t="s">
        <v>19</v>
      </c>
      <c r="L147" t="s">
        <v>20</v>
      </c>
      <c r="M147" t="s">
        <v>644</v>
      </c>
      <c r="N147" t="s">
        <v>645</v>
      </c>
      <c r="O147" t="s">
        <v>489</v>
      </c>
      <c r="P147" t="s">
        <v>352</v>
      </c>
      <c r="Q147">
        <v>13.80308333</v>
      </c>
      <c r="R147">
        <v>120.9117833</v>
      </c>
    </row>
    <row r="148" spans="1:18" x14ac:dyDescent="0.25">
      <c r="A148" t="s">
        <v>646</v>
      </c>
      <c r="B148" t="str">
        <f>_xlfn.IFNA(VLOOKUP(I148,WithCOI!A:B,2,FALSE),"No COI")</f>
        <v>With COI</v>
      </c>
      <c r="C148" t="str">
        <f>IF(_xlfn.IFNA(VLOOKUP(I148,WithITS2!A:A,1,FALSE),"None") = "None", "None","Yes")</f>
        <v>Yes</v>
      </c>
      <c r="D148" t="str">
        <f>IF(AND(B148="No COI",C148="Yes"),"Double check","OK")</f>
        <v>OK</v>
      </c>
      <c r="E148" t="s">
        <v>948</v>
      </c>
      <c r="F148" t="s">
        <v>931</v>
      </c>
      <c r="G148" t="s">
        <v>617</v>
      </c>
      <c r="H148" t="s">
        <v>617</v>
      </c>
      <c r="I148" t="s">
        <v>647</v>
      </c>
      <c r="J148" t="s">
        <v>647</v>
      </c>
      <c r="K148" t="s">
        <v>19</v>
      </c>
      <c r="L148" t="s">
        <v>20</v>
      </c>
      <c r="M148" t="s">
        <v>648</v>
      </c>
      <c r="N148" t="s">
        <v>649</v>
      </c>
      <c r="O148" t="s">
        <v>489</v>
      </c>
      <c r="P148" t="s">
        <v>352</v>
      </c>
      <c r="Q148">
        <v>13.80308333</v>
      </c>
      <c r="R148">
        <v>120.9117833</v>
      </c>
    </row>
    <row r="149" spans="1:18" x14ac:dyDescent="0.25">
      <c r="A149" t="s">
        <v>650</v>
      </c>
      <c r="B149" t="str">
        <f>_xlfn.IFNA(VLOOKUP(I149,WithCOI!A:B,2,FALSE),"No COI")</f>
        <v>With COI</v>
      </c>
      <c r="C149" t="str">
        <f>IF(_xlfn.IFNA(VLOOKUP(I149,WithITS2!A:A,1,FALSE),"None") = "None", "None","Yes")</f>
        <v>Yes</v>
      </c>
      <c r="D149" t="str">
        <f>IF(AND(B149="No COI",C149="Yes"),"Double check","OK")</f>
        <v>OK</v>
      </c>
      <c r="G149" t="s">
        <v>617</v>
      </c>
      <c r="H149" t="str">
        <f>G149</f>
        <v>Tm</v>
      </c>
      <c r="I149" t="s">
        <v>651</v>
      </c>
      <c r="J149" t="s">
        <v>651</v>
      </c>
      <c r="K149" t="s">
        <v>19</v>
      </c>
      <c r="L149" t="s">
        <v>20</v>
      </c>
      <c r="M149" t="s">
        <v>652</v>
      </c>
      <c r="N149" t="s">
        <v>653</v>
      </c>
      <c r="O149" t="s">
        <v>654</v>
      </c>
      <c r="P149" t="s">
        <v>655</v>
      </c>
      <c r="Q149">
        <v>14.46246667</v>
      </c>
      <c r="R149">
        <v>122.9573</v>
      </c>
    </row>
    <row r="150" spans="1:18" x14ac:dyDescent="0.25">
      <c r="A150" t="s">
        <v>656</v>
      </c>
      <c r="B150" t="str">
        <f>_xlfn.IFNA(VLOOKUP(I150,WithCOI!A:B,2,FALSE),"No COI")</f>
        <v>With COI</v>
      </c>
      <c r="C150" t="str">
        <f>IF(_xlfn.IFNA(VLOOKUP(I150,WithITS2!A:A,1,FALSE),"None") = "None", "None","Yes")</f>
        <v>Yes</v>
      </c>
      <c r="D150" t="str">
        <f>IF(AND(B150="No COI",C150="Yes"),"Double check","OK")</f>
        <v>OK</v>
      </c>
      <c r="G150" t="s">
        <v>617</v>
      </c>
      <c r="H150" t="str">
        <f>G150</f>
        <v>Tm</v>
      </c>
      <c r="I150" t="s">
        <v>657</v>
      </c>
      <c r="J150" t="s">
        <v>657</v>
      </c>
      <c r="K150" t="s">
        <v>19</v>
      </c>
      <c r="L150" t="s">
        <v>20</v>
      </c>
      <c r="M150" t="s">
        <v>658</v>
      </c>
      <c r="N150" t="s">
        <v>659</v>
      </c>
      <c r="O150" t="s">
        <v>654</v>
      </c>
      <c r="P150" t="s">
        <v>655</v>
      </c>
      <c r="Q150">
        <v>14.46246667</v>
      </c>
      <c r="R150">
        <v>122.9573</v>
      </c>
    </row>
    <row r="151" spans="1:18" x14ac:dyDescent="0.25">
      <c r="A151" t="s">
        <v>660</v>
      </c>
      <c r="B151" t="str">
        <f>_xlfn.IFNA(VLOOKUP(I151,WithCOI!A:B,2,FALSE),"No COI")</f>
        <v>With COI</v>
      </c>
      <c r="C151" t="str">
        <f>IF(_xlfn.IFNA(VLOOKUP(I151,WithITS2!A:A,1,FALSE),"None") = "None", "None","Yes")</f>
        <v>Yes</v>
      </c>
      <c r="D151" t="str">
        <f>IF(AND(B151="No COI",C151="Yes"),"Double check","OK")</f>
        <v>OK</v>
      </c>
      <c r="G151" t="s">
        <v>617</v>
      </c>
      <c r="H151" t="str">
        <f>G151</f>
        <v>Tm</v>
      </c>
      <c r="I151" t="s">
        <v>661</v>
      </c>
      <c r="J151" t="s">
        <v>661</v>
      </c>
      <c r="K151" t="s">
        <v>19</v>
      </c>
      <c r="L151" t="s">
        <v>20</v>
      </c>
      <c r="M151" t="s">
        <v>662</v>
      </c>
      <c r="N151" t="s">
        <v>663</v>
      </c>
      <c r="O151" t="s">
        <v>654</v>
      </c>
      <c r="P151" t="s">
        <v>655</v>
      </c>
      <c r="Q151">
        <v>14.46246667</v>
      </c>
      <c r="R151">
        <v>122.9573</v>
      </c>
    </row>
    <row r="152" spans="1:18" x14ac:dyDescent="0.25">
      <c r="A152" t="s">
        <v>664</v>
      </c>
      <c r="B152" t="str">
        <f>_xlfn.IFNA(VLOOKUP(I152,WithCOI!A:B,2,FALSE),"No COI")</f>
        <v>With COI</v>
      </c>
      <c r="C152" t="str">
        <f>IF(_xlfn.IFNA(VLOOKUP(I152,WithITS2!A:A,1,FALSE),"None") = "None", "None","Yes")</f>
        <v>Yes</v>
      </c>
      <c r="D152" t="str">
        <f>IF(AND(B152="No COI",C152="Yes"),"Double check","OK")</f>
        <v>OK</v>
      </c>
      <c r="G152" t="s">
        <v>617</v>
      </c>
      <c r="H152" t="str">
        <f>G152</f>
        <v>Tm</v>
      </c>
      <c r="I152" t="s">
        <v>665</v>
      </c>
      <c r="J152" t="s">
        <v>665</v>
      </c>
      <c r="K152" t="s">
        <v>19</v>
      </c>
      <c r="L152" t="s">
        <v>20</v>
      </c>
      <c r="M152" t="s">
        <v>666</v>
      </c>
      <c r="N152" t="s">
        <v>667</v>
      </c>
      <c r="O152" t="s">
        <v>668</v>
      </c>
      <c r="P152" t="s">
        <v>655</v>
      </c>
      <c r="Q152">
        <v>14.4397167</v>
      </c>
      <c r="R152">
        <v>122.9147167</v>
      </c>
    </row>
    <row r="153" spans="1:18" x14ac:dyDescent="0.25">
      <c r="A153" t="s">
        <v>669</v>
      </c>
      <c r="B153" t="str">
        <f>_xlfn.IFNA(VLOOKUP(I153,WithCOI!A:B,2,FALSE),"No COI")</f>
        <v>With COI</v>
      </c>
      <c r="C153" t="str">
        <f>IF(_xlfn.IFNA(VLOOKUP(I153,WithITS2!A:A,1,FALSE),"None") = "None", "None","Yes")</f>
        <v>Yes</v>
      </c>
      <c r="D153" t="str">
        <f>IF(AND(B153="No COI",C153="Yes"),"Double check","OK")</f>
        <v>OK</v>
      </c>
      <c r="G153" t="s">
        <v>617</v>
      </c>
      <c r="H153" t="str">
        <f>G153</f>
        <v>Tm</v>
      </c>
      <c r="I153" t="s">
        <v>670</v>
      </c>
      <c r="J153" t="s">
        <v>670</v>
      </c>
      <c r="K153" t="s">
        <v>19</v>
      </c>
      <c r="L153" t="s">
        <v>20</v>
      </c>
      <c r="M153" t="s">
        <v>671</v>
      </c>
      <c r="N153" t="s">
        <v>672</v>
      </c>
      <c r="O153" t="s">
        <v>668</v>
      </c>
      <c r="P153" t="s">
        <v>655</v>
      </c>
      <c r="Q153">
        <v>14.4397167</v>
      </c>
      <c r="R153">
        <v>122.9147167</v>
      </c>
    </row>
    <row r="154" spans="1:18" x14ac:dyDescent="0.25">
      <c r="A154" t="s">
        <v>673</v>
      </c>
      <c r="B154" t="str">
        <f>_xlfn.IFNA(VLOOKUP(I154,WithCOI!A:B,2,FALSE),"No COI")</f>
        <v>With COI</v>
      </c>
      <c r="C154" t="str">
        <f>IF(_xlfn.IFNA(VLOOKUP(I154,WithITS2!A:A,1,FALSE),"None") = "None", "None","Yes")</f>
        <v>Yes</v>
      </c>
      <c r="D154" t="str">
        <f>IF(AND(B154="No COI",C154="Yes"),"Double check","OK")</f>
        <v>OK</v>
      </c>
      <c r="G154" t="s">
        <v>617</v>
      </c>
      <c r="H154" t="str">
        <f>G154</f>
        <v>Tm</v>
      </c>
      <c r="I154" t="s">
        <v>674</v>
      </c>
      <c r="J154" t="s">
        <v>674</v>
      </c>
      <c r="K154" t="s">
        <v>19</v>
      </c>
      <c r="L154" t="s">
        <v>20</v>
      </c>
      <c r="M154" t="s">
        <v>675</v>
      </c>
      <c r="N154" t="s">
        <v>676</v>
      </c>
      <c r="O154" t="s">
        <v>668</v>
      </c>
      <c r="P154" t="s">
        <v>655</v>
      </c>
      <c r="Q154">
        <v>14.4397167</v>
      </c>
      <c r="R154">
        <v>122.9147167</v>
      </c>
    </row>
    <row r="155" spans="1:18" x14ac:dyDescent="0.25">
      <c r="A155" t="s">
        <v>677</v>
      </c>
      <c r="B155" t="str">
        <f>_xlfn.IFNA(VLOOKUP(I155,WithCOI!A:B,2,FALSE),"No COI")</f>
        <v>With COI</v>
      </c>
      <c r="C155" t="str">
        <f>IF(_xlfn.IFNA(VLOOKUP(I155,WithITS2!A:A,1,FALSE),"None") = "None", "None","Yes")</f>
        <v>Yes</v>
      </c>
      <c r="D155" t="str">
        <f>IF(AND(B155="No COI",C155="Yes"),"Double check","OK")</f>
        <v>OK</v>
      </c>
      <c r="G155" t="s">
        <v>617</v>
      </c>
      <c r="H155" t="str">
        <f>G155</f>
        <v>Tm</v>
      </c>
      <c r="I155" t="s">
        <v>678</v>
      </c>
      <c r="J155" t="s">
        <v>678</v>
      </c>
      <c r="K155" t="s">
        <v>19</v>
      </c>
      <c r="L155" t="s">
        <v>28</v>
      </c>
      <c r="M155" t="s">
        <v>679</v>
      </c>
      <c r="N155" t="s">
        <v>680</v>
      </c>
      <c r="O155" t="s">
        <v>193</v>
      </c>
      <c r="P155" t="s">
        <v>32</v>
      </c>
      <c r="Q155">
        <v>12.661616670000001</v>
      </c>
      <c r="R155">
        <v>120.41678330000001</v>
      </c>
    </row>
    <row r="156" spans="1:18" x14ac:dyDescent="0.25">
      <c r="A156" t="s">
        <v>681</v>
      </c>
      <c r="B156" t="str">
        <f>_xlfn.IFNA(VLOOKUP(I156,WithCOI!A:B,2,FALSE),"No COI")</f>
        <v>With COI</v>
      </c>
      <c r="C156" t="str">
        <f>IF(_xlfn.IFNA(VLOOKUP(I156,WithITS2!A:A,1,FALSE),"None") = "None", "None","Yes")</f>
        <v>Yes</v>
      </c>
      <c r="D156" t="str">
        <f>IF(AND(B156="No COI",C156="Yes"),"Double check","OK")</f>
        <v>OK</v>
      </c>
      <c r="G156" t="s">
        <v>617</v>
      </c>
      <c r="H156" t="str">
        <f>G156</f>
        <v>Tm</v>
      </c>
      <c r="I156" t="s">
        <v>682</v>
      </c>
      <c r="J156" t="s">
        <v>682</v>
      </c>
      <c r="K156" t="s">
        <v>55</v>
      </c>
      <c r="L156" t="s">
        <v>56</v>
      </c>
      <c r="M156" t="s">
        <v>683</v>
      </c>
      <c r="N156" t="s">
        <v>684</v>
      </c>
      <c r="O156" t="s">
        <v>59</v>
      </c>
      <c r="P156" t="s">
        <v>59</v>
      </c>
      <c r="Q156">
        <v>9.6287333000000004</v>
      </c>
      <c r="R156">
        <v>123.8048167</v>
      </c>
    </row>
    <row r="157" spans="1:18" x14ac:dyDescent="0.25">
      <c r="A157" t="s">
        <v>685</v>
      </c>
      <c r="B157" t="str">
        <f>_xlfn.IFNA(VLOOKUP(I157,WithCOI!A:B,2,FALSE),"No COI")</f>
        <v>With COI</v>
      </c>
      <c r="C157" t="str">
        <f>IF(_xlfn.IFNA(VLOOKUP(I157,WithITS2!A:A,1,FALSE),"None") = "None", "None","Yes")</f>
        <v>Yes</v>
      </c>
      <c r="D157" t="str">
        <f>IF(AND(B157="No COI",C157="Yes"),"Double check","OK")</f>
        <v>OK</v>
      </c>
      <c r="G157" t="s">
        <v>617</v>
      </c>
      <c r="H157" t="str">
        <f>G157</f>
        <v>Tm</v>
      </c>
      <c r="I157" t="s">
        <v>686</v>
      </c>
      <c r="J157" t="s">
        <v>686</v>
      </c>
      <c r="K157" t="s">
        <v>55</v>
      </c>
      <c r="L157" t="s">
        <v>56</v>
      </c>
      <c r="M157" t="s">
        <v>687</v>
      </c>
      <c r="N157" t="s">
        <v>688</v>
      </c>
      <c r="O157" t="s">
        <v>59</v>
      </c>
      <c r="P157" t="s">
        <v>59</v>
      </c>
      <c r="Q157">
        <v>9.6287333000000004</v>
      </c>
      <c r="R157">
        <v>123.8048167</v>
      </c>
    </row>
    <row r="158" spans="1:18" x14ac:dyDescent="0.25">
      <c r="A158" t="s">
        <v>689</v>
      </c>
      <c r="B158" t="str">
        <f>_xlfn.IFNA(VLOOKUP(I158,WithCOI!A:B,2,FALSE),"No COI")</f>
        <v>With COI</v>
      </c>
      <c r="C158" t="str">
        <f>IF(_xlfn.IFNA(VLOOKUP(I158,WithITS2!A:A,1,FALSE),"None") = "None", "None","Yes")</f>
        <v>Yes</v>
      </c>
      <c r="D158" t="str">
        <f>IF(AND(B158="No COI",C158="Yes"),"Double check","OK")</f>
        <v>OK</v>
      </c>
      <c r="G158" t="s">
        <v>617</v>
      </c>
      <c r="H158" t="str">
        <f>G158</f>
        <v>Tm</v>
      </c>
      <c r="I158" t="s">
        <v>690</v>
      </c>
      <c r="J158" t="s">
        <v>690</v>
      </c>
      <c r="K158" t="s">
        <v>55</v>
      </c>
      <c r="L158" t="s">
        <v>56</v>
      </c>
      <c r="M158" t="s">
        <v>691</v>
      </c>
      <c r="N158" t="s">
        <v>692</v>
      </c>
      <c r="O158" t="s">
        <v>59</v>
      </c>
      <c r="P158" t="s">
        <v>59</v>
      </c>
      <c r="Q158">
        <v>9.6287333000000004</v>
      </c>
      <c r="R158">
        <v>123.8048167</v>
      </c>
    </row>
    <row r="159" spans="1:18" x14ac:dyDescent="0.25">
      <c r="A159" t="s">
        <v>693</v>
      </c>
      <c r="B159" t="str">
        <f>_xlfn.IFNA(VLOOKUP(I159,WithCOI!A:B,2,FALSE),"No COI")</f>
        <v>With COI</v>
      </c>
      <c r="C159" t="str">
        <f>IF(_xlfn.IFNA(VLOOKUP(I159,WithITS2!A:A,1,FALSE),"None") = "None", "None","Yes")</f>
        <v>Yes</v>
      </c>
      <c r="D159" t="str">
        <f>IF(AND(B159="No COI",C159="Yes"),"Double check","OK")</f>
        <v>OK</v>
      </c>
      <c r="G159" t="s">
        <v>617</v>
      </c>
      <c r="H159" t="str">
        <f>G159</f>
        <v>Tm</v>
      </c>
      <c r="I159" t="s">
        <v>694</v>
      </c>
      <c r="J159" t="s">
        <v>694</v>
      </c>
      <c r="K159" t="s">
        <v>55</v>
      </c>
      <c r="L159" t="s">
        <v>56</v>
      </c>
      <c r="M159" t="s">
        <v>695</v>
      </c>
      <c r="N159" t="s">
        <v>696</v>
      </c>
      <c r="O159" t="s">
        <v>72</v>
      </c>
      <c r="P159" t="s">
        <v>72</v>
      </c>
      <c r="Q159">
        <v>9.1074134390000001</v>
      </c>
      <c r="R159">
        <v>124.8032036</v>
      </c>
    </row>
    <row r="160" spans="1:18" x14ac:dyDescent="0.25">
      <c r="A160" t="s">
        <v>697</v>
      </c>
      <c r="B160" t="str">
        <f>_xlfn.IFNA(VLOOKUP(I160,WithCOI!A:B,2,FALSE),"No COI")</f>
        <v>With COI</v>
      </c>
      <c r="C160" t="str">
        <f>IF(_xlfn.IFNA(VLOOKUP(I160,WithITS2!A:A,1,FALSE),"None") = "None", "None","Yes")</f>
        <v>Yes</v>
      </c>
      <c r="D160" t="str">
        <f>IF(AND(B160="No COI",C160="Yes"),"Double check","OK")</f>
        <v>OK</v>
      </c>
      <c r="G160" t="s">
        <v>617</v>
      </c>
      <c r="H160" t="str">
        <f>G160</f>
        <v>Tm</v>
      </c>
      <c r="I160" t="s">
        <v>698</v>
      </c>
      <c r="J160" t="s">
        <v>698</v>
      </c>
      <c r="K160" t="s">
        <v>55</v>
      </c>
      <c r="L160" t="s">
        <v>56</v>
      </c>
      <c r="M160" t="s">
        <v>699</v>
      </c>
      <c r="N160" t="s">
        <v>700</v>
      </c>
      <c r="O160" t="s">
        <v>72</v>
      </c>
      <c r="P160" t="s">
        <v>72</v>
      </c>
      <c r="Q160">
        <v>9.1074134390000001</v>
      </c>
      <c r="R160">
        <v>124.8032036</v>
      </c>
    </row>
    <row r="161" spans="1:18" x14ac:dyDescent="0.25">
      <c r="A161" t="s">
        <v>701</v>
      </c>
      <c r="B161" t="str">
        <f>_xlfn.IFNA(VLOOKUP(I161,WithCOI!A:B,2,FALSE),"No COI")</f>
        <v>With COI</v>
      </c>
      <c r="C161" t="str">
        <f>IF(_xlfn.IFNA(VLOOKUP(I161,WithITS2!A:A,1,FALSE),"None") = "None", "None","Yes")</f>
        <v>Yes</v>
      </c>
      <c r="D161" t="str">
        <f>IF(AND(B161="No COI",C161="Yes"),"Double check","OK")</f>
        <v>OK</v>
      </c>
      <c r="G161" t="s">
        <v>617</v>
      </c>
      <c r="H161" t="str">
        <f>G161</f>
        <v>Tm</v>
      </c>
      <c r="I161" t="s">
        <v>702</v>
      </c>
      <c r="J161" t="s">
        <v>702</v>
      </c>
      <c r="K161" t="s">
        <v>55</v>
      </c>
      <c r="L161" t="s">
        <v>56</v>
      </c>
      <c r="M161" t="s">
        <v>703</v>
      </c>
      <c r="N161" t="s">
        <v>704</v>
      </c>
      <c r="O161" t="s">
        <v>72</v>
      </c>
      <c r="P161" t="s">
        <v>72</v>
      </c>
      <c r="Q161">
        <v>9.1074134390000001</v>
      </c>
      <c r="R161">
        <v>124.8032036</v>
      </c>
    </row>
    <row r="162" spans="1:18" x14ac:dyDescent="0.25">
      <c r="A162" t="s">
        <v>705</v>
      </c>
      <c r="B162" t="str">
        <f>_xlfn.IFNA(VLOOKUP(I162,WithCOI!A:B,2,FALSE),"No COI")</f>
        <v>With COI</v>
      </c>
      <c r="C162" t="str">
        <f>IF(_xlfn.IFNA(VLOOKUP(I162,WithITS2!A:A,1,FALSE),"None") = "None", "None","Yes")</f>
        <v>Yes</v>
      </c>
      <c r="D162" t="str">
        <f>IF(AND(B162="No COI",C162="Yes"),"Double check","OK")</f>
        <v>OK</v>
      </c>
      <c r="G162" t="s">
        <v>617</v>
      </c>
      <c r="H162" t="str">
        <f>G162</f>
        <v>Tm</v>
      </c>
      <c r="I162" t="s">
        <v>706</v>
      </c>
      <c r="J162" t="s">
        <v>706</v>
      </c>
      <c r="K162" t="s">
        <v>55</v>
      </c>
      <c r="L162" t="s">
        <v>56</v>
      </c>
      <c r="M162" t="s">
        <v>707</v>
      </c>
      <c r="N162" t="s">
        <v>708</v>
      </c>
      <c r="O162" t="s">
        <v>85</v>
      </c>
      <c r="P162" t="s">
        <v>86</v>
      </c>
      <c r="Q162">
        <v>11.058299999999999</v>
      </c>
      <c r="R162">
        <v>125.6537</v>
      </c>
    </row>
    <row r="163" spans="1:18" x14ac:dyDescent="0.25">
      <c r="A163" t="s">
        <v>709</v>
      </c>
      <c r="B163" t="str">
        <f>_xlfn.IFNA(VLOOKUP(I163,WithCOI!A:B,2,FALSE),"No COI")</f>
        <v>With COI</v>
      </c>
      <c r="C163" t="str">
        <f>IF(_xlfn.IFNA(VLOOKUP(I163,WithITS2!A:A,1,FALSE),"None") = "None", "None","Yes")</f>
        <v>Yes</v>
      </c>
      <c r="D163" t="str">
        <f>IF(AND(B163="No COI",C163="Yes"),"Double check","OK")</f>
        <v>OK</v>
      </c>
      <c r="G163" t="s">
        <v>617</v>
      </c>
      <c r="H163" t="str">
        <f>G163</f>
        <v>Tm</v>
      </c>
      <c r="I163" t="s">
        <v>710</v>
      </c>
      <c r="J163" t="s">
        <v>710</v>
      </c>
      <c r="K163" t="s">
        <v>55</v>
      </c>
      <c r="L163" t="s">
        <v>56</v>
      </c>
      <c r="M163" t="s">
        <v>711</v>
      </c>
      <c r="N163" t="s">
        <v>712</v>
      </c>
      <c r="O163" t="s">
        <v>85</v>
      </c>
      <c r="P163" t="s">
        <v>86</v>
      </c>
      <c r="Q163">
        <v>11.058299999999999</v>
      </c>
      <c r="R163">
        <v>125.6537</v>
      </c>
    </row>
    <row r="164" spans="1:18" x14ac:dyDescent="0.25">
      <c r="A164" t="s">
        <v>713</v>
      </c>
      <c r="B164" t="str">
        <f>_xlfn.IFNA(VLOOKUP(I164,WithCOI!A:B,2,FALSE),"No COI")</f>
        <v>With COI</v>
      </c>
      <c r="C164" t="str">
        <f>IF(_xlfn.IFNA(VLOOKUP(I164,WithITS2!A:A,1,FALSE),"None") = "None", "None","Yes")</f>
        <v>Yes</v>
      </c>
      <c r="D164" t="str">
        <f>IF(AND(B164="No COI",C164="Yes"),"Double check","OK")</f>
        <v>OK</v>
      </c>
      <c r="G164" t="s">
        <v>617</v>
      </c>
      <c r="H164" t="str">
        <f>G164</f>
        <v>Tm</v>
      </c>
      <c r="I164" t="s">
        <v>714</v>
      </c>
      <c r="J164" t="s">
        <v>714</v>
      </c>
      <c r="K164" t="s">
        <v>55</v>
      </c>
      <c r="L164" t="s">
        <v>56</v>
      </c>
      <c r="M164" t="s">
        <v>715</v>
      </c>
      <c r="N164" t="s">
        <v>716</v>
      </c>
      <c r="O164" t="s">
        <v>85</v>
      </c>
      <c r="P164" t="s">
        <v>86</v>
      </c>
      <c r="Q164">
        <v>11.058299999999999</v>
      </c>
      <c r="R164">
        <v>125.6537</v>
      </c>
    </row>
    <row r="165" spans="1:18" x14ac:dyDescent="0.25">
      <c r="A165" t="s">
        <v>717</v>
      </c>
      <c r="B165" t="str">
        <f>_xlfn.IFNA(VLOOKUP(I165,WithCOI!A:B,2,FALSE),"No COI")</f>
        <v>With COI</v>
      </c>
      <c r="C165" t="str">
        <f>IF(_xlfn.IFNA(VLOOKUP(I165,WithITS2!A:A,1,FALSE),"None") = "None", "None","Yes")</f>
        <v>Yes</v>
      </c>
      <c r="D165" t="str">
        <f>IF(AND(B165="No COI",C165="Yes"),"Double check","OK")</f>
        <v>OK</v>
      </c>
      <c r="G165" t="s">
        <v>617</v>
      </c>
      <c r="H165" t="str">
        <f>G165</f>
        <v>Tm</v>
      </c>
      <c r="I165" t="s">
        <v>718</v>
      </c>
      <c r="J165" t="s">
        <v>718</v>
      </c>
      <c r="K165" t="s">
        <v>55</v>
      </c>
      <c r="L165" t="s">
        <v>97</v>
      </c>
      <c r="M165" t="s">
        <v>719</v>
      </c>
      <c r="N165" t="s">
        <v>720</v>
      </c>
      <c r="O165" t="s">
        <v>24</v>
      </c>
      <c r="P165" t="s">
        <v>25</v>
      </c>
      <c r="Q165">
        <v>12.08708129</v>
      </c>
      <c r="R165">
        <v>121.3460231</v>
      </c>
    </row>
    <row r="166" spans="1:18" x14ac:dyDescent="0.25">
      <c r="A166" t="s">
        <v>721</v>
      </c>
      <c r="B166" t="str">
        <f>_xlfn.IFNA(VLOOKUP(I166,WithCOI!A:B,2,FALSE),"No COI")</f>
        <v>With COI</v>
      </c>
      <c r="C166" t="str">
        <f>IF(_xlfn.IFNA(VLOOKUP(I166,WithITS2!A:A,1,FALSE),"None") = "None", "None","Yes")</f>
        <v>Yes</v>
      </c>
      <c r="D166" t="str">
        <f>IF(AND(B166="No COI",C166="Yes"),"Double check","OK")</f>
        <v>OK</v>
      </c>
      <c r="G166" t="s">
        <v>617</v>
      </c>
      <c r="H166" t="str">
        <f>G166</f>
        <v>Tm</v>
      </c>
      <c r="I166" t="s">
        <v>722</v>
      </c>
      <c r="J166" t="s">
        <v>722</v>
      </c>
      <c r="K166" t="s">
        <v>55</v>
      </c>
      <c r="L166" t="s">
        <v>97</v>
      </c>
      <c r="M166" t="s">
        <v>723</v>
      </c>
      <c r="N166" t="s">
        <v>724</v>
      </c>
      <c r="O166" t="s">
        <v>24</v>
      </c>
      <c r="P166" t="s">
        <v>25</v>
      </c>
      <c r="Q166">
        <v>12.08708129</v>
      </c>
      <c r="R166">
        <v>121.3460231</v>
      </c>
    </row>
    <row r="167" spans="1:18" x14ac:dyDescent="0.25">
      <c r="A167" t="s">
        <v>725</v>
      </c>
      <c r="B167" t="str">
        <f>_xlfn.IFNA(VLOOKUP(I167,WithCOI!A:B,2,FALSE),"No COI")</f>
        <v>With COI</v>
      </c>
      <c r="C167" t="str">
        <f>IF(_xlfn.IFNA(VLOOKUP(I167,WithITS2!A:A,1,FALSE),"None") = "None", "None","Yes")</f>
        <v>Yes</v>
      </c>
      <c r="D167" t="str">
        <f>IF(AND(B167="No COI",C167="Yes"),"Double check","OK")</f>
        <v>OK</v>
      </c>
      <c r="G167" t="s">
        <v>617</v>
      </c>
      <c r="H167" t="str">
        <f>G167</f>
        <v>Tm</v>
      </c>
      <c r="I167" t="s">
        <v>726</v>
      </c>
      <c r="J167" t="s">
        <v>726</v>
      </c>
      <c r="K167" t="s">
        <v>55</v>
      </c>
      <c r="L167" t="s">
        <v>97</v>
      </c>
      <c r="M167" t="s">
        <v>727</v>
      </c>
      <c r="N167" t="s">
        <v>728</v>
      </c>
      <c r="O167" t="s">
        <v>24</v>
      </c>
      <c r="P167" t="s">
        <v>25</v>
      </c>
      <c r="Q167">
        <v>12.08708129</v>
      </c>
      <c r="R167">
        <v>121.3460231</v>
      </c>
    </row>
    <row r="168" spans="1:18" x14ac:dyDescent="0.25">
      <c r="A168" t="s">
        <v>729</v>
      </c>
      <c r="B168" t="str">
        <f>_xlfn.IFNA(VLOOKUP(I168,WithCOI!A:B,2,FALSE),"No COI")</f>
        <v>No COI</v>
      </c>
      <c r="C168" t="str">
        <f>IF(_xlfn.IFNA(VLOOKUP(I168,WithITS2!A:A,1,FALSE),"None") = "None", "None","Yes")</f>
        <v>None</v>
      </c>
      <c r="D168" t="str">
        <f>IF(AND(B168="No COI",C168="Yes"),"Double check","OK")</f>
        <v>OK</v>
      </c>
      <c r="G168" t="s">
        <v>733</v>
      </c>
      <c r="H168" t="str">
        <f>G168</f>
        <v>Tn</v>
      </c>
      <c r="I168" t="s">
        <v>730</v>
      </c>
      <c r="J168" t="s">
        <v>730</v>
      </c>
      <c r="K168" t="s">
        <v>133</v>
      </c>
      <c r="L168" t="s">
        <v>134</v>
      </c>
      <c r="M168" t="s">
        <v>731</v>
      </c>
      <c r="N168" t="s">
        <v>732</v>
      </c>
      <c r="O168" t="s">
        <v>24</v>
      </c>
      <c r="P168" t="s">
        <v>25</v>
      </c>
      <c r="Q168">
        <v>12.08708129</v>
      </c>
      <c r="R168">
        <v>121.3460231</v>
      </c>
    </row>
    <row r="169" spans="1:18" x14ac:dyDescent="0.25">
      <c r="A169" t="s">
        <v>734</v>
      </c>
      <c r="B169" t="str">
        <f>_xlfn.IFNA(VLOOKUP(I169,WithCOI!A:B,2,FALSE),"No COI")</f>
        <v>No COI</v>
      </c>
      <c r="C169" t="str">
        <f>IF(_xlfn.IFNA(VLOOKUP(I169,WithITS2!A:A,1,FALSE),"None") = "None", "None","Yes")</f>
        <v>None</v>
      </c>
      <c r="D169" t="str">
        <f>IF(AND(B169="No COI",C169="Yes"),"Double check","OK")</f>
        <v>OK</v>
      </c>
      <c r="G169" t="s">
        <v>733</v>
      </c>
      <c r="H169" t="str">
        <f>G169</f>
        <v>Tn</v>
      </c>
      <c r="I169" t="s">
        <v>735</v>
      </c>
      <c r="J169" t="s">
        <v>735</v>
      </c>
      <c r="K169" t="s">
        <v>133</v>
      </c>
      <c r="L169" t="s">
        <v>134</v>
      </c>
      <c r="M169" t="s">
        <v>736</v>
      </c>
      <c r="N169" t="s">
        <v>737</v>
      </c>
      <c r="O169" t="s">
        <v>24</v>
      </c>
      <c r="P169" t="s">
        <v>25</v>
      </c>
      <c r="Q169">
        <v>12.08708129</v>
      </c>
      <c r="R169">
        <v>121.3460231</v>
      </c>
    </row>
    <row r="170" spans="1:18" x14ac:dyDescent="0.25">
      <c r="A170" t="s">
        <v>738</v>
      </c>
      <c r="B170" t="str">
        <f>_xlfn.IFNA(VLOOKUP(I170,WithCOI!A:B,2,FALSE),"No COI")</f>
        <v>No COI</v>
      </c>
      <c r="C170" t="str">
        <f>IF(_xlfn.IFNA(VLOOKUP(I170,WithITS2!A:A,1,FALSE),"None") = "None", "None","Yes")</f>
        <v>None</v>
      </c>
      <c r="D170" t="str">
        <f>IF(AND(B170="No COI",C170="Yes"),"Double check","OK")</f>
        <v>OK</v>
      </c>
      <c r="G170" t="s">
        <v>733</v>
      </c>
      <c r="H170" t="str">
        <f>G170</f>
        <v>Tn</v>
      </c>
      <c r="I170" t="s">
        <v>739</v>
      </c>
      <c r="J170" t="s">
        <v>739</v>
      </c>
      <c r="K170" t="s">
        <v>133</v>
      </c>
      <c r="L170" t="s">
        <v>134</v>
      </c>
      <c r="M170" t="s">
        <v>740</v>
      </c>
      <c r="N170" t="s">
        <v>741</v>
      </c>
      <c r="O170" t="s">
        <v>24</v>
      </c>
      <c r="P170" t="s">
        <v>25</v>
      </c>
      <c r="Q170">
        <v>12.08708129</v>
      </c>
      <c r="R170">
        <v>121.3460231</v>
      </c>
    </row>
    <row r="171" spans="1:18" x14ac:dyDescent="0.25">
      <c r="A171" t="s">
        <v>742</v>
      </c>
      <c r="B171" t="str">
        <f>_xlfn.IFNA(VLOOKUP(I171,WithCOI!A:B,2,FALSE),"No COI")</f>
        <v>No COI</v>
      </c>
      <c r="C171" t="str">
        <f>IF(_xlfn.IFNA(VLOOKUP(I171,WithITS2!A:A,1,FALSE),"None") = "None", "None","Yes")</f>
        <v>None</v>
      </c>
      <c r="D171" t="str">
        <f>IF(AND(B171="No COI",C171="Yes"),"Double check","OK")</f>
        <v>OK</v>
      </c>
      <c r="G171" t="s">
        <v>733</v>
      </c>
      <c r="H171" t="str">
        <f>G171</f>
        <v>Tn</v>
      </c>
      <c r="I171" t="s">
        <v>743</v>
      </c>
      <c r="J171" t="s">
        <v>743</v>
      </c>
      <c r="K171" t="s">
        <v>133</v>
      </c>
      <c r="L171" t="s">
        <v>134</v>
      </c>
      <c r="M171" t="s">
        <v>744</v>
      </c>
      <c r="N171" t="s">
        <v>745</v>
      </c>
      <c r="O171" t="s">
        <v>24</v>
      </c>
      <c r="P171" t="s">
        <v>25</v>
      </c>
      <c r="Q171">
        <v>12.08708129</v>
      </c>
      <c r="R171">
        <v>121.3460231</v>
      </c>
    </row>
    <row r="172" spans="1:18" x14ac:dyDescent="0.25">
      <c r="A172" t="s">
        <v>746</v>
      </c>
      <c r="B172" t="str">
        <f>_xlfn.IFNA(VLOOKUP(I172,WithCOI!A:B,2,FALSE),"No COI")</f>
        <v>With COI</v>
      </c>
      <c r="C172" t="str">
        <f>IF(_xlfn.IFNA(VLOOKUP(I172,WithITS2!A:A,1,FALSE),"None") = "None", "None","Yes")</f>
        <v>Yes</v>
      </c>
      <c r="D172" t="str">
        <f>IF(AND(B172="No COI",C172="Yes"),"Double check","OK")</f>
        <v>OK</v>
      </c>
      <c r="G172" t="s">
        <v>733</v>
      </c>
      <c r="H172" t="str">
        <f>G172</f>
        <v>Tn</v>
      </c>
      <c r="I172" t="s">
        <v>747</v>
      </c>
      <c r="J172" t="s">
        <v>747</v>
      </c>
      <c r="K172" t="s">
        <v>19</v>
      </c>
      <c r="L172" t="s">
        <v>20</v>
      </c>
      <c r="M172" t="s">
        <v>748</v>
      </c>
      <c r="N172" t="s">
        <v>749</v>
      </c>
      <c r="O172" t="s">
        <v>489</v>
      </c>
      <c r="P172" t="s">
        <v>352</v>
      </c>
      <c r="Q172">
        <v>13.80308333</v>
      </c>
      <c r="R172">
        <v>120.9117833</v>
      </c>
    </row>
    <row r="173" spans="1:18" x14ac:dyDescent="0.25">
      <c r="A173" t="s">
        <v>750</v>
      </c>
      <c r="B173" t="str">
        <f>_xlfn.IFNA(VLOOKUP(I173,WithCOI!A:B,2,FALSE),"No COI")</f>
        <v>With COI</v>
      </c>
      <c r="C173" t="str">
        <f>IF(_xlfn.IFNA(VLOOKUP(I173,WithITS2!A:A,1,FALSE),"None") = "None", "None","Yes")</f>
        <v>Yes</v>
      </c>
      <c r="D173" t="str">
        <f>IF(AND(B173="No COI",C173="Yes"),"Double check","OK")</f>
        <v>OK</v>
      </c>
      <c r="G173" t="s">
        <v>733</v>
      </c>
      <c r="H173" t="str">
        <f>G173</f>
        <v>Tn</v>
      </c>
      <c r="I173" t="s">
        <v>751</v>
      </c>
      <c r="J173" t="s">
        <v>751</v>
      </c>
      <c r="K173" t="s">
        <v>19</v>
      </c>
      <c r="L173" t="s">
        <v>20</v>
      </c>
      <c r="M173" t="s">
        <v>752</v>
      </c>
      <c r="N173" t="s">
        <v>753</v>
      </c>
      <c r="O173" t="s">
        <v>489</v>
      </c>
      <c r="P173" t="s">
        <v>352</v>
      </c>
      <c r="Q173">
        <v>13.80308333</v>
      </c>
      <c r="R173">
        <v>120.9117833</v>
      </c>
    </row>
    <row r="174" spans="1:18" x14ac:dyDescent="0.25">
      <c r="A174" t="s">
        <v>754</v>
      </c>
      <c r="B174" t="str">
        <f>_xlfn.IFNA(VLOOKUP(I174,WithCOI!A:B,2,FALSE),"No COI")</f>
        <v>With COI</v>
      </c>
      <c r="C174" t="str">
        <f>IF(_xlfn.IFNA(VLOOKUP(I174,WithITS2!A:A,1,FALSE),"None") = "None", "None","Yes")</f>
        <v>Yes</v>
      </c>
      <c r="D174" t="str">
        <f>IF(AND(B174="No COI",C174="Yes"),"Double check","OK")</f>
        <v>OK</v>
      </c>
      <c r="G174" t="s">
        <v>733</v>
      </c>
      <c r="H174" t="str">
        <f>G174</f>
        <v>Tn</v>
      </c>
      <c r="I174" t="s">
        <v>755</v>
      </c>
      <c r="J174" t="s">
        <v>755</v>
      </c>
      <c r="K174" t="s">
        <v>19</v>
      </c>
      <c r="L174" t="s">
        <v>20</v>
      </c>
      <c r="M174" t="s">
        <v>756</v>
      </c>
      <c r="N174" t="s">
        <v>757</v>
      </c>
      <c r="O174" t="s">
        <v>758</v>
      </c>
      <c r="P174" t="s">
        <v>655</v>
      </c>
      <c r="Q174">
        <v>14.4559</v>
      </c>
      <c r="R174">
        <v>122.97321669999999</v>
      </c>
    </row>
    <row r="175" spans="1:18" x14ac:dyDescent="0.25">
      <c r="A175" t="s">
        <v>759</v>
      </c>
      <c r="B175" t="str">
        <f>_xlfn.IFNA(VLOOKUP(I175,WithCOI!A:B,2,FALSE),"No COI")</f>
        <v>With COI</v>
      </c>
      <c r="C175" t="str">
        <f>IF(_xlfn.IFNA(VLOOKUP(I175,WithITS2!A:A,1,FALSE),"None") = "None", "None","Yes")</f>
        <v>Yes</v>
      </c>
      <c r="D175" t="str">
        <f>IF(AND(B175="No COI",C175="Yes"),"Double check","OK")</f>
        <v>OK</v>
      </c>
      <c r="G175" t="s">
        <v>733</v>
      </c>
      <c r="H175" t="str">
        <f>G175</f>
        <v>Tn</v>
      </c>
      <c r="I175" t="s">
        <v>760</v>
      </c>
      <c r="J175" t="s">
        <v>760</v>
      </c>
      <c r="K175" t="s">
        <v>19</v>
      </c>
      <c r="L175" t="s">
        <v>20</v>
      </c>
      <c r="M175" t="s">
        <v>761</v>
      </c>
      <c r="N175" t="s">
        <v>762</v>
      </c>
      <c r="O175" t="s">
        <v>758</v>
      </c>
      <c r="P175" t="s">
        <v>655</v>
      </c>
      <c r="Q175">
        <v>14.4559</v>
      </c>
      <c r="R175">
        <v>122.97321669999999</v>
      </c>
    </row>
    <row r="176" spans="1:18" x14ac:dyDescent="0.25">
      <c r="A176" t="s">
        <v>763</v>
      </c>
      <c r="B176" t="str">
        <f>_xlfn.IFNA(VLOOKUP(I176,WithCOI!A:B,2,FALSE),"No COI")</f>
        <v>With COI</v>
      </c>
      <c r="C176" t="str">
        <f>IF(_xlfn.IFNA(VLOOKUP(I176,WithITS2!A:A,1,FALSE),"None") = "None", "None","Yes")</f>
        <v>Yes</v>
      </c>
      <c r="D176" t="str">
        <f>IF(AND(B176="No COI",C176="Yes"),"Double check","OK")</f>
        <v>OK</v>
      </c>
      <c r="G176" t="s">
        <v>733</v>
      </c>
      <c r="H176" t="str">
        <f>G176</f>
        <v>Tn</v>
      </c>
      <c r="I176" t="s">
        <v>764</v>
      </c>
      <c r="J176" t="s">
        <v>764</v>
      </c>
      <c r="K176" t="s">
        <v>19</v>
      </c>
      <c r="L176" t="s">
        <v>20</v>
      </c>
      <c r="M176" t="s">
        <v>765</v>
      </c>
      <c r="N176" t="s">
        <v>766</v>
      </c>
      <c r="O176" t="s">
        <v>758</v>
      </c>
      <c r="P176" t="s">
        <v>655</v>
      </c>
      <c r="Q176">
        <v>14.4559</v>
      </c>
      <c r="R176">
        <v>122.97321669999999</v>
      </c>
    </row>
    <row r="177" spans="1:18" x14ac:dyDescent="0.25">
      <c r="A177" t="s">
        <v>767</v>
      </c>
      <c r="B177" t="str">
        <f>_xlfn.IFNA(VLOOKUP(I177,WithCOI!A:B,2,FALSE),"No COI")</f>
        <v>With COI</v>
      </c>
      <c r="C177" t="str">
        <f>IF(_xlfn.IFNA(VLOOKUP(I177,WithITS2!A:A,1,FALSE),"None") = "None", "None","Yes")</f>
        <v>Yes</v>
      </c>
      <c r="D177" t="str">
        <f>IF(AND(B177="No COI",C177="Yes"),"Double check","OK")</f>
        <v>OK</v>
      </c>
      <c r="G177" t="s">
        <v>733</v>
      </c>
      <c r="H177" t="str">
        <f>G177</f>
        <v>Tn</v>
      </c>
      <c r="I177" t="s">
        <v>768</v>
      </c>
      <c r="J177" t="s">
        <v>768</v>
      </c>
      <c r="K177" t="s">
        <v>19</v>
      </c>
      <c r="L177" t="s">
        <v>20</v>
      </c>
      <c r="M177" t="s">
        <v>769</v>
      </c>
      <c r="N177" t="s">
        <v>770</v>
      </c>
      <c r="O177" t="s">
        <v>654</v>
      </c>
      <c r="P177" t="s">
        <v>655</v>
      </c>
      <c r="Q177">
        <v>14.46246667</v>
      </c>
      <c r="R177">
        <v>122.9573</v>
      </c>
    </row>
    <row r="178" spans="1:18" x14ac:dyDescent="0.25">
      <c r="A178" t="s">
        <v>771</v>
      </c>
      <c r="B178" t="str">
        <f>_xlfn.IFNA(VLOOKUP(I178,WithCOI!A:B,2,FALSE),"No COI")</f>
        <v>With COI</v>
      </c>
      <c r="C178" t="str">
        <f>IF(_xlfn.IFNA(VLOOKUP(I178,WithITS2!A:A,1,FALSE),"None") = "None", "None","Yes")</f>
        <v>Yes</v>
      </c>
      <c r="D178" t="str">
        <f>IF(AND(B178="No COI",C178="Yes"),"Double check","OK")</f>
        <v>OK</v>
      </c>
      <c r="G178" t="s">
        <v>733</v>
      </c>
      <c r="H178" t="str">
        <f>G178</f>
        <v>Tn</v>
      </c>
      <c r="I178" t="s">
        <v>772</v>
      </c>
      <c r="J178" t="s">
        <v>772</v>
      </c>
      <c r="K178" t="s">
        <v>19</v>
      </c>
      <c r="L178" t="s">
        <v>20</v>
      </c>
      <c r="M178" t="s">
        <v>773</v>
      </c>
      <c r="N178" t="s">
        <v>774</v>
      </c>
      <c r="O178" t="s">
        <v>654</v>
      </c>
      <c r="P178" t="s">
        <v>655</v>
      </c>
      <c r="Q178">
        <v>14.46246667</v>
      </c>
      <c r="R178">
        <v>122.9573</v>
      </c>
    </row>
    <row r="179" spans="1:18" x14ac:dyDescent="0.25">
      <c r="A179" t="s">
        <v>775</v>
      </c>
      <c r="B179" t="str">
        <f>_xlfn.IFNA(VLOOKUP(I179,WithCOI!A:B,2,FALSE),"No COI")</f>
        <v>With COI</v>
      </c>
      <c r="C179" t="str">
        <f>IF(_xlfn.IFNA(VLOOKUP(I179,WithITS2!A:A,1,FALSE),"None") = "None", "None","Yes")</f>
        <v>Yes</v>
      </c>
      <c r="D179" t="str">
        <f>IF(AND(B179="No COI",C179="Yes"),"Double check","OK")</f>
        <v>OK</v>
      </c>
      <c r="G179" t="s">
        <v>733</v>
      </c>
      <c r="H179" t="str">
        <f>G179</f>
        <v>Tn</v>
      </c>
      <c r="I179" t="s">
        <v>776</v>
      </c>
      <c r="J179" t="s">
        <v>776</v>
      </c>
      <c r="K179" t="s">
        <v>19</v>
      </c>
      <c r="L179" t="s">
        <v>20</v>
      </c>
      <c r="M179" t="s">
        <v>777</v>
      </c>
      <c r="N179" t="s">
        <v>778</v>
      </c>
      <c r="O179" t="s">
        <v>654</v>
      </c>
      <c r="P179" t="s">
        <v>655</v>
      </c>
      <c r="Q179">
        <v>14.46246667</v>
      </c>
      <c r="R179">
        <v>122.9573</v>
      </c>
    </row>
    <row r="180" spans="1:18" x14ac:dyDescent="0.25">
      <c r="A180" t="s">
        <v>779</v>
      </c>
      <c r="B180" t="str">
        <f>_xlfn.IFNA(VLOOKUP(I180,WithCOI!A:B,2,FALSE),"No COI")</f>
        <v>With COI</v>
      </c>
      <c r="C180" t="str">
        <f>IF(_xlfn.IFNA(VLOOKUP(I180,WithITS2!A:A,1,FALSE),"None") = "None", "None","Yes")</f>
        <v>Yes</v>
      </c>
      <c r="D180" t="str">
        <f>IF(AND(B180="No COI",C180="Yes"),"Double check","OK")</f>
        <v>OK</v>
      </c>
      <c r="G180" t="s">
        <v>733</v>
      </c>
      <c r="H180" t="str">
        <f>G180</f>
        <v>Tn</v>
      </c>
      <c r="I180" t="s">
        <v>780</v>
      </c>
      <c r="J180" t="s">
        <v>780</v>
      </c>
      <c r="K180" t="s">
        <v>19</v>
      </c>
      <c r="L180" t="s">
        <v>20</v>
      </c>
      <c r="M180" t="s">
        <v>781</v>
      </c>
      <c r="N180" t="s">
        <v>782</v>
      </c>
      <c r="O180" t="s">
        <v>783</v>
      </c>
      <c r="P180" t="s">
        <v>655</v>
      </c>
      <c r="Q180">
        <v>14.2009667</v>
      </c>
      <c r="R180">
        <v>122.9506667</v>
      </c>
    </row>
    <row r="181" spans="1:18" x14ac:dyDescent="0.25">
      <c r="A181" t="s">
        <v>784</v>
      </c>
      <c r="B181" t="str">
        <f>_xlfn.IFNA(VLOOKUP(I181,WithCOI!A:B,2,FALSE),"No COI")</f>
        <v>With COI</v>
      </c>
      <c r="C181" t="str">
        <f>IF(_xlfn.IFNA(VLOOKUP(I181,WithITS2!A:A,1,FALSE),"None") = "None", "None","Yes")</f>
        <v>Yes</v>
      </c>
      <c r="D181" t="str">
        <f>IF(AND(B181="No COI",C181="Yes"),"Double check","OK")</f>
        <v>OK</v>
      </c>
      <c r="G181" t="s">
        <v>733</v>
      </c>
      <c r="H181" t="str">
        <f>G181</f>
        <v>Tn</v>
      </c>
      <c r="I181" t="s">
        <v>785</v>
      </c>
      <c r="J181" t="s">
        <v>785</v>
      </c>
      <c r="K181" t="s">
        <v>19</v>
      </c>
      <c r="L181" t="s">
        <v>20</v>
      </c>
      <c r="M181" t="s">
        <v>786</v>
      </c>
      <c r="N181" t="s">
        <v>787</v>
      </c>
      <c r="O181" t="s">
        <v>783</v>
      </c>
      <c r="P181" t="s">
        <v>655</v>
      </c>
      <c r="Q181">
        <v>14.2009667</v>
      </c>
      <c r="R181">
        <v>122.9506667</v>
      </c>
    </row>
    <row r="182" spans="1:18" x14ac:dyDescent="0.25">
      <c r="A182" t="s">
        <v>788</v>
      </c>
      <c r="B182" t="str">
        <f>_xlfn.IFNA(VLOOKUP(I182,WithCOI!A:B,2,FALSE),"No COI")</f>
        <v>With COI</v>
      </c>
      <c r="C182" t="str">
        <f>IF(_xlfn.IFNA(VLOOKUP(I182,WithITS2!A:A,1,FALSE),"None") = "None", "None","Yes")</f>
        <v>Yes</v>
      </c>
      <c r="D182" t="str">
        <f>IF(AND(B182="No COI",C182="Yes"),"Double check","OK")</f>
        <v>OK</v>
      </c>
      <c r="G182" t="s">
        <v>733</v>
      </c>
      <c r="H182" t="str">
        <f>G182</f>
        <v>Tn</v>
      </c>
      <c r="I182" t="s">
        <v>789</v>
      </c>
      <c r="J182" t="s">
        <v>789</v>
      </c>
      <c r="K182" t="s">
        <v>19</v>
      </c>
      <c r="L182" t="s">
        <v>20</v>
      </c>
      <c r="M182" t="s">
        <v>790</v>
      </c>
      <c r="N182" t="s">
        <v>791</v>
      </c>
      <c r="O182" t="s">
        <v>792</v>
      </c>
      <c r="P182" t="s">
        <v>655</v>
      </c>
      <c r="Q182">
        <v>14.451750000000001</v>
      </c>
      <c r="R182">
        <v>122.98565000000001</v>
      </c>
    </row>
    <row r="183" spans="1:18" x14ac:dyDescent="0.25">
      <c r="A183" t="s">
        <v>793</v>
      </c>
      <c r="B183" t="str">
        <f>_xlfn.IFNA(VLOOKUP(I183,WithCOI!A:B,2,FALSE),"No COI")</f>
        <v>With COI</v>
      </c>
      <c r="C183" t="str">
        <f>IF(_xlfn.IFNA(VLOOKUP(I183,WithITS2!A:A,1,FALSE),"None") = "None", "None","Yes")</f>
        <v>Yes</v>
      </c>
      <c r="D183" t="str">
        <f>IF(AND(B183="No COI",C183="Yes"),"Double check","OK")</f>
        <v>OK</v>
      </c>
      <c r="G183" t="s">
        <v>733</v>
      </c>
      <c r="H183" t="str">
        <f>G183</f>
        <v>Tn</v>
      </c>
      <c r="I183" t="s">
        <v>794</v>
      </c>
      <c r="J183" t="s">
        <v>794</v>
      </c>
      <c r="K183" t="s">
        <v>19</v>
      </c>
      <c r="L183" t="s">
        <v>20</v>
      </c>
      <c r="M183" t="s">
        <v>795</v>
      </c>
      <c r="N183" t="s">
        <v>796</v>
      </c>
      <c r="O183" t="s">
        <v>792</v>
      </c>
      <c r="P183" t="s">
        <v>655</v>
      </c>
      <c r="Q183">
        <v>14.451750000000001</v>
      </c>
      <c r="R183">
        <v>122.98565000000001</v>
      </c>
    </row>
    <row r="184" spans="1:18" x14ac:dyDescent="0.25">
      <c r="A184" t="s">
        <v>797</v>
      </c>
      <c r="B184" t="str">
        <f>_xlfn.IFNA(VLOOKUP(I184,WithCOI!A:B,2,FALSE),"No COI")</f>
        <v>With COI</v>
      </c>
      <c r="C184" t="str">
        <f>IF(_xlfn.IFNA(VLOOKUP(I184,WithITS2!A:A,1,FALSE),"None") = "None", "None","Yes")</f>
        <v>Yes</v>
      </c>
      <c r="D184" t="str">
        <f>IF(AND(B184="No COI",C184="Yes"),"Double check","OK")</f>
        <v>OK</v>
      </c>
      <c r="G184" t="s">
        <v>733</v>
      </c>
      <c r="H184" t="str">
        <f>G184</f>
        <v>Tn</v>
      </c>
      <c r="I184" t="s">
        <v>798</v>
      </c>
      <c r="J184" t="s">
        <v>798</v>
      </c>
      <c r="K184" t="s">
        <v>19</v>
      </c>
      <c r="L184" t="s">
        <v>20</v>
      </c>
      <c r="M184" t="s">
        <v>799</v>
      </c>
      <c r="N184" t="s">
        <v>800</v>
      </c>
      <c r="O184" t="s">
        <v>792</v>
      </c>
      <c r="P184" t="s">
        <v>655</v>
      </c>
      <c r="Q184">
        <v>14.451750000000001</v>
      </c>
      <c r="R184">
        <v>122.98565000000001</v>
      </c>
    </row>
    <row r="185" spans="1:18" x14ac:dyDescent="0.25">
      <c r="A185" t="s">
        <v>801</v>
      </c>
      <c r="B185" t="str">
        <f>_xlfn.IFNA(VLOOKUP(I185,WithCOI!A:B,2,FALSE),"No COI")</f>
        <v>No COI</v>
      </c>
      <c r="C185" t="str">
        <f>IF(_xlfn.IFNA(VLOOKUP(I185,WithITS2!A:A,1,FALSE),"None") = "None", "None","Yes")</f>
        <v>None</v>
      </c>
      <c r="D185" t="str">
        <f>IF(AND(B185="No COI",C185="Yes"),"Double check","OK")</f>
        <v>OK</v>
      </c>
      <c r="G185" t="s">
        <v>805</v>
      </c>
      <c r="H185" t="str">
        <f>G185</f>
        <v>Ts</v>
      </c>
      <c r="I185" t="s">
        <v>802</v>
      </c>
      <c r="J185" t="s">
        <v>802</v>
      </c>
      <c r="K185" t="s">
        <v>133</v>
      </c>
      <c r="L185" t="s">
        <v>134</v>
      </c>
      <c r="M185" t="s">
        <v>803</v>
      </c>
      <c r="N185" t="s">
        <v>804</v>
      </c>
      <c r="O185" t="s">
        <v>24</v>
      </c>
      <c r="P185" t="s">
        <v>25</v>
      </c>
      <c r="Q185">
        <v>12.08708129</v>
      </c>
      <c r="R185">
        <v>121.3460231</v>
      </c>
    </row>
    <row r="186" spans="1:18" x14ac:dyDescent="0.25">
      <c r="A186" t="s">
        <v>806</v>
      </c>
      <c r="B186" t="str">
        <f>_xlfn.IFNA(VLOOKUP(I186,WithCOI!A:B,2,FALSE),"No COI")</f>
        <v>No COI</v>
      </c>
      <c r="C186" t="str">
        <f>IF(_xlfn.IFNA(VLOOKUP(I186,WithITS2!A:A,1,FALSE),"None") = "None", "None","Yes")</f>
        <v>None</v>
      </c>
      <c r="D186" t="str">
        <f>IF(AND(B186="No COI",C186="Yes"),"Double check","OK")</f>
        <v>OK</v>
      </c>
      <c r="G186" t="s">
        <v>805</v>
      </c>
      <c r="H186" t="str">
        <f>G186</f>
        <v>Ts</v>
      </c>
      <c r="I186" t="s">
        <v>807</v>
      </c>
      <c r="J186" t="s">
        <v>807</v>
      </c>
      <c r="K186" t="s">
        <v>133</v>
      </c>
      <c r="L186" t="s">
        <v>134</v>
      </c>
      <c r="M186" t="s">
        <v>808</v>
      </c>
      <c r="N186" t="s">
        <v>809</v>
      </c>
      <c r="O186" t="s">
        <v>24</v>
      </c>
      <c r="P186" t="s">
        <v>25</v>
      </c>
      <c r="Q186">
        <v>12.08708129</v>
      </c>
      <c r="R186">
        <v>121.3460231</v>
      </c>
    </row>
    <row r="187" spans="1:18" x14ac:dyDescent="0.25">
      <c r="A187" t="s">
        <v>810</v>
      </c>
      <c r="B187" t="str">
        <f>_xlfn.IFNA(VLOOKUP(I187,WithCOI!A:B,2,FALSE),"No COI")</f>
        <v>No COI</v>
      </c>
      <c r="C187" t="str">
        <f>IF(_xlfn.IFNA(VLOOKUP(I187,WithITS2!A:A,1,FALSE),"None") = "None", "None","Yes")</f>
        <v>None</v>
      </c>
      <c r="D187" t="str">
        <f>IF(AND(B187="No COI",C187="Yes"),"Double check","OK")</f>
        <v>OK</v>
      </c>
      <c r="G187" t="s">
        <v>805</v>
      </c>
      <c r="H187" t="str">
        <f>G187</f>
        <v>Ts</v>
      </c>
      <c r="I187" t="s">
        <v>811</v>
      </c>
      <c r="J187" t="s">
        <v>811</v>
      </c>
      <c r="K187" t="s">
        <v>133</v>
      </c>
      <c r="L187" t="s">
        <v>134</v>
      </c>
      <c r="M187" t="s">
        <v>812</v>
      </c>
      <c r="N187" t="s">
        <v>813</v>
      </c>
      <c r="O187" t="s">
        <v>24</v>
      </c>
      <c r="P187" t="s">
        <v>25</v>
      </c>
      <c r="Q187">
        <v>12.08708129</v>
      </c>
      <c r="R187">
        <v>121.3460231</v>
      </c>
    </row>
    <row r="188" spans="1:18" x14ac:dyDescent="0.25">
      <c r="A188" t="s">
        <v>814</v>
      </c>
      <c r="B188" t="str">
        <f>_xlfn.IFNA(VLOOKUP(I188,WithCOI!A:B,2,FALSE),"No COI")</f>
        <v>No COI</v>
      </c>
      <c r="C188" t="str">
        <f>IF(_xlfn.IFNA(VLOOKUP(I188,WithITS2!A:A,1,FALSE),"None") = "None", "None","Yes")</f>
        <v>None</v>
      </c>
      <c r="D188" t="str">
        <f>IF(AND(B188="No COI",C188="Yes"),"Double check","OK")</f>
        <v>OK</v>
      </c>
      <c r="G188" t="s">
        <v>805</v>
      </c>
      <c r="H188" t="str">
        <f>G188</f>
        <v>Ts</v>
      </c>
      <c r="I188" t="s">
        <v>815</v>
      </c>
      <c r="J188" t="s">
        <v>815</v>
      </c>
      <c r="K188" t="s">
        <v>133</v>
      </c>
      <c r="L188" t="s">
        <v>134</v>
      </c>
      <c r="M188" t="s">
        <v>816</v>
      </c>
      <c r="N188" t="s">
        <v>817</v>
      </c>
      <c r="O188" t="s">
        <v>100</v>
      </c>
      <c r="P188" t="s">
        <v>101</v>
      </c>
      <c r="Q188">
        <v>16.44411667</v>
      </c>
      <c r="R188">
        <v>119.92153329999999</v>
      </c>
    </row>
    <row r="189" spans="1:18" x14ac:dyDescent="0.25">
      <c r="A189" t="s">
        <v>818</v>
      </c>
      <c r="B189" t="str">
        <f>_xlfn.IFNA(VLOOKUP(I189,WithCOI!A:B,2,FALSE),"No COI")</f>
        <v>No COI</v>
      </c>
      <c r="C189" t="str">
        <f>IF(_xlfn.IFNA(VLOOKUP(I189,WithITS2!A:A,1,FALSE),"None") = "None", "None","Yes")</f>
        <v>None</v>
      </c>
      <c r="D189" t="str">
        <f>IF(AND(B189="No COI",C189="Yes"),"Double check","OK")</f>
        <v>OK</v>
      </c>
      <c r="G189" t="s">
        <v>805</v>
      </c>
      <c r="H189" t="str">
        <f>G189</f>
        <v>Ts</v>
      </c>
      <c r="I189" t="s">
        <v>819</v>
      </c>
      <c r="J189" t="s">
        <v>819</v>
      </c>
      <c r="K189" t="s">
        <v>133</v>
      </c>
      <c r="L189" t="s">
        <v>134</v>
      </c>
      <c r="M189" t="s">
        <v>820</v>
      </c>
      <c r="N189" t="s">
        <v>821</v>
      </c>
      <c r="O189" t="s">
        <v>100</v>
      </c>
      <c r="P189" t="s">
        <v>101</v>
      </c>
      <c r="Q189">
        <v>16.44411667</v>
      </c>
      <c r="R189">
        <v>119.92153329999999</v>
      </c>
    </row>
    <row r="190" spans="1:18" x14ac:dyDescent="0.25">
      <c r="A190" t="s">
        <v>822</v>
      </c>
      <c r="B190" t="str">
        <f>_xlfn.IFNA(VLOOKUP(I190,WithCOI!A:B,2,FALSE),"No COI")</f>
        <v>No COI</v>
      </c>
      <c r="C190" t="str">
        <f>IF(_xlfn.IFNA(VLOOKUP(I190,WithITS2!A:A,1,FALSE),"None") = "None", "None","Yes")</f>
        <v>None</v>
      </c>
      <c r="D190" t="str">
        <f>IF(AND(B190="No COI",C190="Yes"),"Double check","OK")</f>
        <v>OK</v>
      </c>
      <c r="G190" t="s">
        <v>805</v>
      </c>
      <c r="H190" t="str">
        <f>G190</f>
        <v>Ts</v>
      </c>
      <c r="I190" t="s">
        <v>823</v>
      </c>
      <c r="J190" t="s">
        <v>823</v>
      </c>
      <c r="K190" t="s">
        <v>133</v>
      </c>
      <c r="L190" t="s">
        <v>134</v>
      </c>
      <c r="M190" t="s">
        <v>824</v>
      </c>
      <c r="N190" t="s">
        <v>825</v>
      </c>
      <c r="O190" t="s">
        <v>100</v>
      </c>
      <c r="P190" t="s">
        <v>101</v>
      </c>
      <c r="Q190">
        <v>16.44411667</v>
      </c>
      <c r="R190">
        <v>119.92153329999999</v>
      </c>
    </row>
    <row r="191" spans="1:18" x14ac:dyDescent="0.25">
      <c r="A191" t="s">
        <v>826</v>
      </c>
      <c r="B191" t="str">
        <f>_xlfn.IFNA(VLOOKUP(I191,WithCOI!A:B,2,FALSE),"No COI")</f>
        <v>With COI</v>
      </c>
      <c r="C191" t="str">
        <f>IF(_xlfn.IFNA(VLOOKUP(I191,WithITS2!A:A,1,FALSE),"None") = "None", "None","Yes")</f>
        <v>Yes</v>
      </c>
      <c r="D191" t="str">
        <f>IF(AND(B191="No COI",C191="Yes"),"Double check","OK")</f>
        <v>OK</v>
      </c>
      <c r="E191" t="s">
        <v>949</v>
      </c>
      <c r="F191" t="s">
        <v>931</v>
      </c>
      <c r="G191" t="s">
        <v>805</v>
      </c>
      <c r="H191" t="s">
        <v>805</v>
      </c>
      <c r="I191" t="s">
        <v>827</v>
      </c>
      <c r="J191" t="s">
        <v>827</v>
      </c>
      <c r="K191" t="s">
        <v>19</v>
      </c>
      <c r="L191" t="s">
        <v>20</v>
      </c>
      <c r="M191" t="s">
        <v>828</v>
      </c>
      <c r="N191" t="s">
        <v>829</v>
      </c>
      <c r="O191" t="s">
        <v>489</v>
      </c>
      <c r="P191" t="s">
        <v>352</v>
      </c>
      <c r="Q191">
        <v>13.80308333</v>
      </c>
      <c r="R191">
        <v>120.9117833</v>
      </c>
    </row>
    <row r="192" spans="1:18" x14ac:dyDescent="0.25">
      <c r="A192" t="s">
        <v>830</v>
      </c>
      <c r="B192" t="str">
        <f>_xlfn.IFNA(VLOOKUP(I192,WithCOI!A:B,2,FALSE),"No COI")</f>
        <v>With COI</v>
      </c>
      <c r="C192" t="str">
        <f>IF(_xlfn.IFNA(VLOOKUP(I192,WithITS2!A:A,1,FALSE),"None") = "None", "None","Yes")</f>
        <v>Yes</v>
      </c>
      <c r="D192" t="str">
        <f>IF(AND(B192="No COI",C192="Yes"),"Double check","OK")</f>
        <v>OK</v>
      </c>
      <c r="G192" t="s">
        <v>805</v>
      </c>
      <c r="H192" t="str">
        <f>G192</f>
        <v>Ts</v>
      </c>
      <c r="I192" t="s">
        <v>831</v>
      </c>
      <c r="J192" t="s">
        <v>831</v>
      </c>
      <c r="K192" t="s">
        <v>19</v>
      </c>
      <c r="L192" t="s">
        <v>20</v>
      </c>
      <c r="M192" t="s">
        <v>832</v>
      </c>
      <c r="N192" t="s">
        <v>833</v>
      </c>
      <c r="O192" t="s">
        <v>489</v>
      </c>
      <c r="P192" t="s">
        <v>352</v>
      </c>
      <c r="Q192">
        <v>13.80308333</v>
      </c>
      <c r="R192">
        <v>120.9117833</v>
      </c>
    </row>
    <row r="193" spans="1:18" x14ac:dyDescent="0.25">
      <c r="A193" t="s">
        <v>834</v>
      </c>
      <c r="B193" t="str">
        <f>_xlfn.IFNA(VLOOKUP(I193,WithCOI!A:B,2,FALSE),"No COI")</f>
        <v>With COI</v>
      </c>
      <c r="C193" t="str">
        <f>IF(_xlfn.IFNA(VLOOKUP(I193,WithITS2!A:A,1,FALSE),"None") = "None", "None","Yes")</f>
        <v>Yes</v>
      </c>
      <c r="D193" t="str">
        <f>IF(AND(B193="No COI",C193="Yes"),"Double check","OK")</f>
        <v>OK</v>
      </c>
      <c r="G193" t="s">
        <v>805</v>
      </c>
      <c r="H193" t="str">
        <f>G193</f>
        <v>Ts</v>
      </c>
      <c r="I193" t="s">
        <v>835</v>
      </c>
      <c r="J193" t="s">
        <v>835</v>
      </c>
      <c r="K193" t="s">
        <v>19</v>
      </c>
      <c r="L193" t="s">
        <v>20</v>
      </c>
      <c r="M193" t="s">
        <v>836</v>
      </c>
      <c r="N193" t="s">
        <v>837</v>
      </c>
      <c r="O193" t="s">
        <v>654</v>
      </c>
      <c r="P193" t="s">
        <v>655</v>
      </c>
      <c r="Q193">
        <v>14.46246667</v>
      </c>
      <c r="R193">
        <v>122.9573</v>
      </c>
    </row>
    <row r="194" spans="1:18" x14ac:dyDescent="0.25">
      <c r="A194" t="s">
        <v>838</v>
      </c>
      <c r="B194" t="str">
        <f>_xlfn.IFNA(VLOOKUP(I194,WithCOI!A:B,2,FALSE),"No COI")</f>
        <v>With COI</v>
      </c>
      <c r="C194" t="str">
        <f>IF(_xlfn.IFNA(VLOOKUP(I194,WithITS2!A:A,1,FALSE),"None") = "None", "None","Yes")</f>
        <v>Yes</v>
      </c>
      <c r="D194" t="str">
        <f>IF(AND(B194="No COI",C194="Yes"),"Double check","OK")</f>
        <v>OK</v>
      </c>
      <c r="G194" t="s">
        <v>805</v>
      </c>
      <c r="H194" t="str">
        <f>G194</f>
        <v>Ts</v>
      </c>
      <c r="I194" t="s">
        <v>839</v>
      </c>
      <c r="J194" t="s">
        <v>839</v>
      </c>
      <c r="K194" t="s">
        <v>19</v>
      </c>
      <c r="L194" t="s">
        <v>20</v>
      </c>
      <c r="M194" t="s">
        <v>840</v>
      </c>
      <c r="N194" t="s">
        <v>841</v>
      </c>
      <c r="O194" t="s">
        <v>654</v>
      </c>
      <c r="P194" t="s">
        <v>655</v>
      </c>
      <c r="Q194">
        <v>14.46246667</v>
      </c>
      <c r="R194">
        <v>122.9573</v>
      </c>
    </row>
    <row r="195" spans="1:18" x14ac:dyDescent="0.25">
      <c r="A195" t="s">
        <v>842</v>
      </c>
      <c r="B195" t="str">
        <f>_xlfn.IFNA(VLOOKUP(I195,WithCOI!A:B,2,FALSE),"No COI")</f>
        <v>With COI</v>
      </c>
      <c r="C195" t="str">
        <f>IF(_xlfn.IFNA(VLOOKUP(I195,WithITS2!A:A,1,FALSE),"None") = "None", "None","Yes")</f>
        <v>Yes</v>
      </c>
      <c r="D195" t="str">
        <f>IF(AND(B195="No COI",C195="Yes"),"Double check","OK")</f>
        <v>OK</v>
      </c>
      <c r="G195" t="s">
        <v>805</v>
      </c>
      <c r="H195" t="str">
        <f>G195</f>
        <v>Ts</v>
      </c>
      <c r="I195" t="s">
        <v>843</v>
      </c>
      <c r="J195" t="s">
        <v>843</v>
      </c>
      <c r="K195" t="s">
        <v>19</v>
      </c>
      <c r="L195" t="s">
        <v>20</v>
      </c>
      <c r="M195" t="s">
        <v>844</v>
      </c>
      <c r="N195" t="s">
        <v>845</v>
      </c>
      <c r="O195" t="s">
        <v>654</v>
      </c>
      <c r="P195" t="s">
        <v>655</v>
      </c>
      <c r="Q195">
        <v>14.46246667</v>
      </c>
      <c r="R195">
        <v>122.9573</v>
      </c>
    </row>
    <row r="196" spans="1:18" x14ac:dyDescent="0.25">
      <c r="A196" t="s">
        <v>846</v>
      </c>
      <c r="B196" t="str">
        <f>_xlfn.IFNA(VLOOKUP(I196,WithCOI!A:B,2,FALSE),"No COI")</f>
        <v>With COI</v>
      </c>
      <c r="C196" t="str">
        <f>IF(_xlfn.IFNA(VLOOKUP(I196,WithITS2!A:A,1,FALSE),"None") = "None", "None","Yes")</f>
        <v>Yes</v>
      </c>
      <c r="D196" t="str">
        <f>IF(AND(B196="No COI",C196="Yes"),"Double check","OK")</f>
        <v>OK</v>
      </c>
      <c r="G196" t="s">
        <v>805</v>
      </c>
      <c r="H196" t="str">
        <f>G196</f>
        <v>Ts</v>
      </c>
      <c r="I196" t="s">
        <v>847</v>
      </c>
      <c r="J196" t="s">
        <v>847</v>
      </c>
      <c r="K196" t="s">
        <v>19</v>
      </c>
      <c r="L196" t="s">
        <v>20</v>
      </c>
      <c r="M196" t="s">
        <v>848</v>
      </c>
      <c r="N196" t="s">
        <v>849</v>
      </c>
      <c r="O196" t="s">
        <v>668</v>
      </c>
      <c r="P196" t="s">
        <v>655</v>
      </c>
      <c r="Q196">
        <v>14.4397167</v>
      </c>
      <c r="R196">
        <v>122.9147167</v>
      </c>
    </row>
    <row r="197" spans="1:18" x14ac:dyDescent="0.25">
      <c r="A197" t="s">
        <v>850</v>
      </c>
      <c r="B197" t="str">
        <f>_xlfn.IFNA(VLOOKUP(I197,WithCOI!A:B,2,FALSE),"No COI")</f>
        <v>With COI</v>
      </c>
      <c r="C197" t="str">
        <f>IF(_xlfn.IFNA(VLOOKUP(I197,WithITS2!A:A,1,FALSE),"None") = "None", "None","Yes")</f>
        <v>Yes</v>
      </c>
      <c r="D197" t="str">
        <f>IF(AND(B197="No COI",C197="Yes"),"Double check","OK")</f>
        <v>OK</v>
      </c>
      <c r="G197" t="s">
        <v>805</v>
      </c>
      <c r="H197" t="str">
        <f>G197</f>
        <v>Ts</v>
      </c>
      <c r="I197" t="s">
        <v>851</v>
      </c>
      <c r="J197" t="s">
        <v>851</v>
      </c>
      <c r="K197" t="s">
        <v>19</v>
      </c>
      <c r="L197" t="s">
        <v>20</v>
      </c>
      <c r="M197" t="s">
        <v>852</v>
      </c>
      <c r="N197" t="s">
        <v>853</v>
      </c>
      <c r="O197" t="s">
        <v>668</v>
      </c>
      <c r="P197" t="s">
        <v>655</v>
      </c>
      <c r="Q197">
        <v>14.4397167</v>
      </c>
      <c r="R197">
        <v>122.9147167</v>
      </c>
    </row>
    <row r="198" spans="1:18" x14ac:dyDescent="0.25">
      <c r="A198" t="s">
        <v>854</v>
      </c>
      <c r="B198" t="str">
        <f>_xlfn.IFNA(VLOOKUP(I198,WithCOI!A:B,2,FALSE),"No COI")</f>
        <v>With COI</v>
      </c>
      <c r="C198" t="str">
        <f>IF(_xlfn.IFNA(VLOOKUP(I198,WithITS2!A:A,1,FALSE),"None") = "None", "None","Yes")</f>
        <v>Yes</v>
      </c>
      <c r="D198" t="str">
        <f>IF(AND(B198="No COI",C198="Yes"),"Double check","OK")</f>
        <v>OK</v>
      </c>
      <c r="G198" t="s">
        <v>805</v>
      </c>
      <c r="H198" t="str">
        <f>G198</f>
        <v>Ts</v>
      </c>
      <c r="I198" t="s">
        <v>855</v>
      </c>
      <c r="J198" t="s">
        <v>855</v>
      </c>
      <c r="K198" t="s">
        <v>19</v>
      </c>
      <c r="L198" t="s">
        <v>20</v>
      </c>
      <c r="M198" t="s">
        <v>856</v>
      </c>
      <c r="N198" t="s">
        <v>857</v>
      </c>
      <c r="O198" t="s">
        <v>668</v>
      </c>
      <c r="P198" t="s">
        <v>655</v>
      </c>
      <c r="Q198">
        <v>14.4397167</v>
      </c>
      <c r="R198">
        <v>122.9147167</v>
      </c>
    </row>
    <row r="199" spans="1:18" x14ac:dyDescent="0.25">
      <c r="A199" t="s">
        <v>858</v>
      </c>
      <c r="B199" t="str">
        <f>_xlfn.IFNA(VLOOKUP(I199,WithCOI!A:B,2,FALSE),"No COI")</f>
        <v>With COI</v>
      </c>
      <c r="C199" t="str">
        <f>IF(_xlfn.IFNA(VLOOKUP(I199,WithITS2!A:A,1,FALSE),"None") = "None", "None","Yes")</f>
        <v>Yes</v>
      </c>
      <c r="D199" t="str">
        <f>IF(AND(B199="No COI",C199="Yes"),"Double check","OK")</f>
        <v>OK</v>
      </c>
      <c r="G199" t="s">
        <v>805</v>
      </c>
      <c r="H199" t="str">
        <f>G199</f>
        <v>Ts</v>
      </c>
      <c r="I199" t="s">
        <v>859</v>
      </c>
      <c r="J199" t="s">
        <v>859</v>
      </c>
      <c r="K199" t="s">
        <v>19</v>
      </c>
      <c r="L199" t="s">
        <v>20</v>
      </c>
      <c r="M199" t="s">
        <v>860</v>
      </c>
      <c r="N199" t="s">
        <v>861</v>
      </c>
      <c r="O199" t="s">
        <v>167</v>
      </c>
      <c r="P199" t="s">
        <v>168</v>
      </c>
      <c r="Q199">
        <v>15.529866699999999</v>
      </c>
      <c r="R199">
        <v>119.92481669999999</v>
      </c>
    </row>
    <row r="200" spans="1:18" x14ac:dyDescent="0.25">
      <c r="A200" t="s">
        <v>862</v>
      </c>
      <c r="B200" t="str">
        <f>_xlfn.IFNA(VLOOKUP(I200,WithCOI!A:B,2,FALSE),"No COI")</f>
        <v>With COI</v>
      </c>
      <c r="C200" t="str">
        <f>IF(_xlfn.IFNA(VLOOKUP(I200,WithITS2!A:A,1,FALSE),"None") = "None", "None","Yes")</f>
        <v>Yes</v>
      </c>
      <c r="D200" t="str">
        <f>IF(AND(B200="No COI",C200="Yes"),"Double check","OK")</f>
        <v>OK</v>
      </c>
      <c r="G200" t="s">
        <v>805</v>
      </c>
      <c r="H200" t="str">
        <f>G200</f>
        <v>Ts</v>
      </c>
      <c r="I200" t="s">
        <v>863</v>
      </c>
      <c r="J200" t="s">
        <v>863</v>
      </c>
      <c r="K200" t="s">
        <v>19</v>
      </c>
      <c r="L200" t="s">
        <v>20</v>
      </c>
      <c r="M200" t="s">
        <v>864</v>
      </c>
      <c r="N200" t="s">
        <v>865</v>
      </c>
      <c r="O200" t="s">
        <v>167</v>
      </c>
      <c r="P200" t="s">
        <v>168</v>
      </c>
      <c r="Q200">
        <v>15.529866699999999</v>
      </c>
      <c r="R200">
        <v>119.92481669999999</v>
      </c>
    </row>
    <row r="201" spans="1:18" x14ac:dyDescent="0.25">
      <c r="A201" t="s">
        <v>866</v>
      </c>
      <c r="B201" t="str">
        <f>_xlfn.IFNA(VLOOKUP(I201,WithCOI!A:B,2,FALSE),"No COI")</f>
        <v>With COI</v>
      </c>
      <c r="C201" t="str">
        <f>IF(_xlfn.IFNA(VLOOKUP(I201,WithITS2!A:A,1,FALSE),"None") = "None", "None","Yes")</f>
        <v>Yes</v>
      </c>
      <c r="D201" t="str">
        <f>IF(AND(B201="No COI",C201="Yes"),"Double check","OK")</f>
        <v>OK</v>
      </c>
      <c r="G201" t="s">
        <v>805</v>
      </c>
      <c r="H201" t="str">
        <f>G201</f>
        <v>Ts</v>
      </c>
      <c r="I201" t="s">
        <v>867</v>
      </c>
      <c r="J201" t="s">
        <v>867</v>
      </c>
      <c r="K201" t="s">
        <v>19</v>
      </c>
      <c r="L201" t="s">
        <v>20</v>
      </c>
      <c r="M201" t="s">
        <v>868</v>
      </c>
      <c r="N201" t="s">
        <v>869</v>
      </c>
      <c r="O201" t="s">
        <v>167</v>
      </c>
      <c r="P201" t="s">
        <v>168</v>
      </c>
      <c r="Q201">
        <v>15.529866699999999</v>
      </c>
      <c r="R201">
        <v>119.92481669999999</v>
      </c>
    </row>
    <row r="202" spans="1:18" x14ac:dyDescent="0.25">
      <c r="A202" t="s">
        <v>870</v>
      </c>
      <c r="B202" t="str">
        <f>_xlfn.IFNA(VLOOKUP(I202,WithCOI!A:B,2,FALSE),"No COI")</f>
        <v>With COI</v>
      </c>
      <c r="C202" t="str">
        <f>IF(_xlfn.IFNA(VLOOKUP(I202,WithITS2!A:A,1,FALSE),"None") = "None", "None","Yes")</f>
        <v>Yes</v>
      </c>
      <c r="D202" t="str">
        <f>IF(AND(B202="No COI",C202="Yes"),"Double check","OK")</f>
        <v>OK</v>
      </c>
      <c r="G202" t="s">
        <v>805</v>
      </c>
      <c r="H202" t="str">
        <f>G202</f>
        <v>Ts</v>
      </c>
      <c r="I202" t="s">
        <v>871</v>
      </c>
      <c r="J202" t="s">
        <v>871</v>
      </c>
      <c r="K202" t="s">
        <v>19</v>
      </c>
      <c r="L202" t="s">
        <v>20</v>
      </c>
      <c r="M202" t="s">
        <v>872</v>
      </c>
      <c r="N202" t="s">
        <v>873</v>
      </c>
      <c r="O202" t="s">
        <v>289</v>
      </c>
      <c r="P202" t="s">
        <v>289</v>
      </c>
      <c r="Q202">
        <v>9.914205334</v>
      </c>
      <c r="R202">
        <v>118.877206</v>
      </c>
    </row>
    <row r="203" spans="1:18" x14ac:dyDescent="0.25">
      <c r="A203" t="s">
        <v>874</v>
      </c>
      <c r="B203" t="str">
        <f>_xlfn.IFNA(VLOOKUP(I203,WithCOI!A:B,2,FALSE),"No COI")</f>
        <v>With COI</v>
      </c>
      <c r="C203" t="str">
        <f>IF(_xlfn.IFNA(VLOOKUP(I203,WithITS2!A:A,1,FALSE),"None") = "None", "None","Yes")</f>
        <v>Yes</v>
      </c>
      <c r="D203" t="str">
        <f>IF(AND(B203="No COI",C203="Yes"),"Double check","OK")</f>
        <v>OK</v>
      </c>
      <c r="G203" t="s">
        <v>805</v>
      </c>
      <c r="H203" t="str">
        <f>G203</f>
        <v>Ts</v>
      </c>
      <c r="I203" t="s">
        <v>875</v>
      </c>
      <c r="J203" t="s">
        <v>875</v>
      </c>
      <c r="K203" t="s">
        <v>19</v>
      </c>
      <c r="L203" t="s">
        <v>20</v>
      </c>
      <c r="M203" t="s">
        <v>876</v>
      </c>
      <c r="N203" t="s">
        <v>877</v>
      </c>
      <c r="O203" t="s">
        <v>289</v>
      </c>
      <c r="P203" t="s">
        <v>289</v>
      </c>
      <c r="Q203">
        <v>9.914205334</v>
      </c>
      <c r="R203">
        <v>118.877206</v>
      </c>
    </row>
    <row r="204" spans="1:18" x14ac:dyDescent="0.25">
      <c r="A204" t="s">
        <v>878</v>
      </c>
      <c r="B204" t="str">
        <f>_xlfn.IFNA(VLOOKUP(I204,WithCOI!A:B,2,FALSE),"No COI")</f>
        <v>With COI</v>
      </c>
      <c r="C204" t="str">
        <f>IF(_xlfn.IFNA(VLOOKUP(I204,WithITS2!A:A,1,FALSE),"None") = "None", "None","Yes")</f>
        <v>Yes</v>
      </c>
      <c r="D204" t="str">
        <f>IF(AND(B204="No COI",C204="Yes"),"Double check","OK")</f>
        <v>OK</v>
      </c>
      <c r="G204" t="s">
        <v>805</v>
      </c>
      <c r="H204" t="str">
        <f>G204</f>
        <v>Ts</v>
      </c>
      <c r="I204" t="s">
        <v>879</v>
      </c>
      <c r="J204" t="s">
        <v>879</v>
      </c>
      <c r="K204" t="s">
        <v>19</v>
      </c>
      <c r="L204" t="s">
        <v>20</v>
      </c>
      <c r="M204" t="s">
        <v>880</v>
      </c>
      <c r="N204" t="s">
        <v>881</v>
      </c>
      <c r="O204" t="s">
        <v>289</v>
      </c>
      <c r="P204" t="s">
        <v>289</v>
      </c>
      <c r="Q204">
        <v>9.914205334</v>
      </c>
      <c r="R204">
        <v>118.877206</v>
      </c>
    </row>
    <row r="205" spans="1:18" x14ac:dyDescent="0.25">
      <c r="A205" t="s">
        <v>882</v>
      </c>
      <c r="B205" t="str">
        <f>_xlfn.IFNA(VLOOKUP(I205,WithCOI!A:B,2,FALSE),"No COI")</f>
        <v>With COI</v>
      </c>
      <c r="C205" t="str">
        <f>IF(_xlfn.IFNA(VLOOKUP(I205,WithITS2!A:A,1,FALSE),"None") = "None", "None","Yes")</f>
        <v>Yes</v>
      </c>
      <c r="D205" t="str">
        <f>IF(AND(B205="No COI",C205="Yes"),"Double check","OK")</f>
        <v>OK</v>
      </c>
      <c r="G205" t="s">
        <v>805</v>
      </c>
      <c r="H205" t="str">
        <f>G205</f>
        <v>Ts</v>
      </c>
      <c r="I205" t="s">
        <v>883</v>
      </c>
      <c r="J205" t="s">
        <v>883</v>
      </c>
      <c r="K205" t="s">
        <v>55</v>
      </c>
      <c r="L205" t="s">
        <v>56</v>
      </c>
      <c r="M205" t="s">
        <v>884</v>
      </c>
      <c r="N205" t="s">
        <v>885</v>
      </c>
      <c r="O205" t="s">
        <v>59</v>
      </c>
      <c r="P205" t="s">
        <v>59</v>
      </c>
      <c r="Q205">
        <v>9.6287333000000004</v>
      </c>
      <c r="R205">
        <v>123.8048167</v>
      </c>
    </row>
    <row r="206" spans="1:18" x14ac:dyDescent="0.25">
      <c r="A206" t="s">
        <v>886</v>
      </c>
      <c r="B206" t="str">
        <f>_xlfn.IFNA(VLOOKUP(I206,WithCOI!A:B,2,FALSE),"No COI")</f>
        <v>With COI</v>
      </c>
      <c r="C206" t="str">
        <f>IF(_xlfn.IFNA(VLOOKUP(I206,WithITS2!A:A,1,FALSE),"None") = "None", "None","Yes")</f>
        <v>Yes</v>
      </c>
      <c r="D206" t="str">
        <f>IF(AND(B206="No COI",C206="Yes"),"Double check","OK")</f>
        <v>OK</v>
      </c>
      <c r="G206" t="s">
        <v>805</v>
      </c>
      <c r="H206" t="str">
        <f>G206</f>
        <v>Ts</v>
      </c>
      <c r="I206" t="s">
        <v>887</v>
      </c>
      <c r="J206" t="s">
        <v>887</v>
      </c>
      <c r="K206" t="s">
        <v>55</v>
      </c>
      <c r="L206" t="s">
        <v>56</v>
      </c>
      <c r="M206" t="s">
        <v>888</v>
      </c>
      <c r="N206" t="s">
        <v>889</v>
      </c>
      <c r="O206" t="s">
        <v>59</v>
      </c>
      <c r="P206" t="s">
        <v>59</v>
      </c>
      <c r="Q206">
        <v>9.6287333000000004</v>
      </c>
      <c r="R206">
        <v>123.8048167</v>
      </c>
    </row>
    <row r="207" spans="1:18" x14ac:dyDescent="0.25">
      <c r="A207" t="s">
        <v>890</v>
      </c>
      <c r="B207" t="str">
        <f>_xlfn.IFNA(VLOOKUP(I207,WithCOI!A:B,2,FALSE),"No COI")</f>
        <v>With COI</v>
      </c>
      <c r="C207" t="str">
        <f>IF(_xlfn.IFNA(VLOOKUP(I207,WithITS2!A:A,1,FALSE),"None") = "None", "None","Yes")</f>
        <v>Yes</v>
      </c>
      <c r="D207" t="str">
        <f>IF(AND(B207="No COI",C207="Yes"),"Double check","OK")</f>
        <v>OK</v>
      </c>
      <c r="G207" t="s">
        <v>805</v>
      </c>
      <c r="H207" t="str">
        <f>G207</f>
        <v>Ts</v>
      </c>
      <c r="I207" t="s">
        <v>891</v>
      </c>
      <c r="J207" t="s">
        <v>891</v>
      </c>
      <c r="K207" t="s">
        <v>55</v>
      </c>
      <c r="L207" t="s">
        <v>56</v>
      </c>
      <c r="M207" t="s">
        <v>892</v>
      </c>
      <c r="N207" t="s">
        <v>893</v>
      </c>
      <c r="O207" t="s">
        <v>59</v>
      </c>
      <c r="P207" t="s">
        <v>59</v>
      </c>
      <c r="Q207">
        <v>9.6287333000000004</v>
      </c>
      <c r="R207">
        <v>123.8048167</v>
      </c>
    </row>
    <row r="208" spans="1:18" x14ac:dyDescent="0.25">
      <c r="A208" t="s">
        <v>894</v>
      </c>
      <c r="B208" t="str">
        <f>_xlfn.IFNA(VLOOKUP(I208,WithCOI!A:B,2,FALSE),"No COI")</f>
        <v>With COI</v>
      </c>
      <c r="C208" t="str">
        <f>IF(_xlfn.IFNA(VLOOKUP(I208,WithITS2!A:A,1,FALSE),"None") = "None", "None","Yes")</f>
        <v>Yes</v>
      </c>
      <c r="D208" t="str">
        <f>IF(AND(B208="No COI",C208="Yes"),"Double check","OK")</f>
        <v>OK</v>
      </c>
      <c r="G208" t="s">
        <v>805</v>
      </c>
      <c r="H208" t="str">
        <f>G208</f>
        <v>Ts</v>
      </c>
      <c r="I208" t="s">
        <v>895</v>
      </c>
      <c r="J208" t="s">
        <v>895</v>
      </c>
      <c r="K208" t="s">
        <v>55</v>
      </c>
      <c r="L208" t="s">
        <v>56</v>
      </c>
      <c r="M208" t="s">
        <v>896</v>
      </c>
      <c r="N208" t="s">
        <v>897</v>
      </c>
      <c r="O208" t="s">
        <v>72</v>
      </c>
      <c r="P208" t="s">
        <v>72</v>
      </c>
      <c r="Q208">
        <v>9.1074134390000001</v>
      </c>
      <c r="R208">
        <v>124.8032036</v>
      </c>
    </row>
    <row r="209" spans="1:18" x14ac:dyDescent="0.25">
      <c r="A209" t="s">
        <v>898</v>
      </c>
      <c r="B209" t="str">
        <f>_xlfn.IFNA(VLOOKUP(I209,WithCOI!A:B,2,FALSE),"No COI")</f>
        <v>With COI</v>
      </c>
      <c r="C209" t="str">
        <f>IF(_xlfn.IFNA(VLOOKUP(I209,WithITS2!A:A,1,FALSE),"None") = "None", "None","Yes")</f>
        <v>Yes</v>
      </c>
      <c r="D209" t="str">
        <f>IF(AND(B209="No COI",C209="Yes"),"Double check","OK")</f>
        <v>OK</v>
      </c>
      <c r="G209" t="s">
        <v>805</v>
      </c>
      <c r="H209" t="str">
        <f>G209</f>
        <v>Ts</v>
      </c>
      <c r="I209" t="s">
        <v>899</v>
      </c>
      <c r="J209" t="s">
        <v>899</v>
      </c>
      <c r="K209" t="s">
        <v>55</v>
      </c>
      <c r="L209" t="s">
        <v>56</v>
      </c>
      <c r="M209" t="s">
        <v>900</v>
      </c>
      <c r="N209" t="s">
        <v>901</v>
      </c>
      <c r="O209" t="s">
        <v>72</v>
      </c>
      <c r="P209" t="s">
        <v>72</v>
      </c>
      <c r="Q209">
        <v>9.1074134390000001</v>
      </c>
      <c r="R209">
        <v>124.8032036</v>
      </c>
    </row>
    <row r="210" spans="1:18" x14ac:dyDescent="0.25">
      <c r="A210" t="s">
        <v>902</v>
      </c>
      <c r="B210" t="str">
        <f>_xlfn.IFNA(VLOOKUP(I210,WithCOI!A:B,2,FALSE),"No COI")</f>
        <v>With COI</v>
      </c>
      <c r="C210" t="str">
        <f>IF(_xlfn.IFNA(VLOOKUP(I210,WithITS2!A:A,1,FALSE),"None") = "None", "None","Yes")</f>
        <v>Yes</v>
      </c>
      <c r="D210" t="str">
        <f>IF(AND(B210="No COI",C210="Yes"),"Double check","OK")</f>
        <v>OK</v>
      </c>
      <c r="G210" t="s">
        <v>805</v>
      </c>
      <c r="H210" t="str">
        <f>G210</f>
        <v>Ts</v>
      </c>
      <c r="I210" t="s">
        <v>903</v>
      </c>
      <c r="J210" t="s">
        <v>903</v>
      </c>
      <c r="K210" t="s">
        <v>55</v>
      </c>
      <c r="L210" t="s">
        <v>56</v>
      </c>
      <c r="M210" t="s">
        <v>904</v>
      </c>
      <c r="N210" t="s">
        <v>905</v>
      </c>
      <c r="O210" t="s">
        <v>72</v>
      </c>
      <c r="P210" t="s">
        <v>72</v>
      </c>
      <c r="Q210">
        <v>9.1074134390000001</v>
      </c>
      <c r="R210">
        <v>124.8032036</v>
      </c>
    </row>
    <row r="211" spans="1:18" x14ac:dyDescent="0.25">
      <c r="A211" t="s">
        <v>906</v>
      </c>
      <c r="B211" t="str">
        <f>_xlfn.IFNA(VLOOKUP(I211,WithCOI!A:B,2,FALSE),"No COI")</f>
        <v>With COI</v>
      </c>
      <c r="C211" t="str">
        <f>IF(_xlfn.IFNA(VLOOKUP(I211,WithITS2!A:A,1,FALSE),"None") = "None", "None","Yes")</f>
        <v>Yes</v>
      </c>
      <c r="D211" t="str">
        <f>IF(AND(B211="No COI",C211="Yes"),"Double check","OK")</f>
        <v>OK</v>
      </c>
      <c r="G211" t="s">
        <v>805</v>
      </c>
      <c r="H211" t="str">
        <f>G211</f>
        <v>Ts</v>
      </c>
      <c r="I211" t="s">
        <v>907</v>
      </c>
      <c r="J211" t="s">
        <v>907</v>
      </c>
      <c r="K211" t="s">
        <v>55</v>
      </c>
      <c r="L211" t="s">
        <v>56</v>
      </c>
      <c r="M211" t="s">
        <v>908</v>
      </c>
      <c r="N211" t="s">
        <v>909</v>
      </c>
      <c r="O211" t="s">
        <v>85</v>
      </c>
      <c r="P211" t="s">
        <v>86</v>
      </c>
      <c r="Q211">
        <v>11.058299999999999</v>
      </c>
      <c r="R211">
        <v>125.6537</v>
      </c>
    </row>
    <row r="212" spans="1:18" x14ac:dyDescent="0.25">
      <c r="A212" t="s">
        <v>910</v>
      </c>
      <c r="B212" t="str">
        <f>_xlfn.IFNA(VLOOKUP(I212,WithCOI!A:B,2,FALSE),"No COI")</f>
        <v>With COI</v>
      </c>
      <c r="C212" t="str">
        <f>IF(_xlfn.IFNA(VLOOKUP(I212,WithITS2!A:A,1,FALSE),"None") = "None", "None","Yes")</f>
        <v>Yes</v>
      </c>
      <c r="D212" t="str">
        <f>IF(AND(B212="No COI",C212="Yes"),"Double check","OK")</f>
        <v>OK</v>
      </c>
      <c r="G212" t="s">
        <v>805</v>
      </c>
      <c r="H212" t="str">
        <f>G212</f>
        <v>Ts</v>
      </c>
      <c r="I212" t="s">
        <v>911</v>
      </c>
      <c r="J212" t="s">
        <v>911</v>
      </c>
      <c r="K212" t="s">
        <v>55</v>
      </c>
      <c r="L212" t="s">
        <v>56</v>
      </c>
      <c r="M212" t="s">
        <v>912</v>
      </c>
      <c r="N212" t="s">
        <v>913</v>
      </c>
      <c r="O212" t="s">
        <v>85</v>
      </c>
      <c r="P212" t="s">
        <v>86</v>
      </c>
      <c r="Q212">
        <v>11.058299999999999</v>
      </c>
      <c r="R212">
        <v>125.6537</v>
      </c>
    </row>
    <row r="213" spans="1:18" x14ac:dyDescent="0.25">
      <c r="A213" t="s">
        <v>914</v>
      </c>
      <c r="B213" t="str">
        <f>_xlfn.IFNA(VLOOKUP(I213,WithCOI!A:B,2,FALSE),"No COI")</f>
        <v>With COI</v>
      </c>
      <c r="C213" t="str">
        <f>IF(_xlfn.IFNA(VLOOKUP(I213,WithITS2!A:A,1,FALSE),"None") = "None", "None","Yes")</f>
        <v>Yes</v>
      </c>
      <c r="D213" t="str">
        <f>IF(AND(B213="No COI",C213="Yes"),"Double check","OK")</f>
        <v>OK</v>
      </c>
      <c r="G213" t="s">
        <v>805</v>
      </c>
      <c r="H213" t="str">
        <f>G213</f>
        <v>Ts</v>
      </c>
      <c r="I213" t="s">
        <v>915</v>
      </c>
      <c r="J213" t="s">
        <v>915</v>
      </c>
      <c r="K213" t="s">
        <v>55</v>
      </c>
      <c r="L213" t="s">
        <v>56</v>
      </c>
      <c r="M213" t="s">
        <v>916</v>
      </c>
      <c r="N213" t="s">
        <v>917</v>
      </c>
      <c r="O213" t="s">
        <v>85</v>
      </c>
      <c r="P213" t="s">
        <v>86</v>
      </c>
      <c r="Q213">
        <v>11.058299999999999</v>
      </c>
      <c r="R213">
        <v>125.6537</v>
      </c>
    </row>
    <row r="214" spans="1:18" x14ac:dyDescent="0.25">
      <c r="A214" t="s">
        <v>918</v>
      </c>
      <c r="B214" t="str">
        <f>_xlfn.IFNA(VLOOKUP(I214,WithCOI!A:B,2,FALSE),"No COI")</f>
        <v>With COI</v>
      </c>
      <c r="C214" t="str">
        <f>IF(_xlfn.IFNA(VLOOKUP(I214,WithITS2!A:A,1,FALSE),"None") = "None", "None","Yes")</f>
        <v>Yes</v>
      </c>
      <c r="D214" t="str">
        <f>IF(AND(B214="No COI",C214="Yes"),"Double check","OK")</f>
        <v>OK</v>
      </c>
      <c r="G214" t="s">
        <v>805</v>
      </c>
      <c r="H214" t="str">
        <f>G214</f>
        <v>Ts</v>
      </c>
      <c r="I214" t="s">
        <v>919</v>
      </c>
      <c r="J214" t="s">
        <v>919</v>
      </c>
      <c r="K214" t="s">
        <v>55</v>
      </c>
      <c r="L214" t="s">
        <v>97</v>
      </c>
      <c r="M214" t="s">
        <v>920</v>
      </c>
      <c r="N214" t="s">
        <v>921</v>
      </c>
      <c r="O214" t="s">
        <v>100</v>
      </c>
      <c r="P214" t="s">
        <v>101</v>
      </c>
      <c r="Q214">
        <v>16.44411667</v>
      </c>
      <c r="R214">
        <v>119.92153329999999</v>
      </c>
    </row>
    <row r="215" spans="1:18" x14ac:dyDescent="0.25">
      <c r="A215" t="s">
        <v>922</v>
      </c>
      <c r="B215" t="str">
        <f>_xlfn.IFNA(VLOOKUP(I215,WithCOI!A:B,2,FALSE),"No COI")</f>
        <v>With COI</v>
      </c>
      <c r="C215" t="str">
        <f>IF(_xlfn.IFNA(VLOOKUP(I215,WithITS2!A:A,1,FALSE),"None") = "None", "None","Yes")</f>
        <v>Yes</v>
      </c>
      <c r="D215" t="str">
        <f>IF(AND(B215="No COI",C215="Yes"),"Double check","OK")</f>
        <v>OK</v>
      </c>
      <c r="G215" t="s">
        <v>805</v>
      </c>
      <c r="H215" t="str">
        <f>G215</f>
        <v>Ts</v>
      </c>
      <c r="I215" t="s">
        <v>923</v>
      </c>
      <c r="J215" t="s">
        <v>923</v>
      </c>
      <c r="K215" t="s">
        <v>55</v>
      </c>
      <c r="L215" t="s">
        <v>97</v>
      </c>
      <c r="M215" t="s">
        <v>924</v>
      </c>
      <c r="N215" t="s">
        <v>925</v>
      </c>
      <c r="O215" t="s">
        <v>100</v>
      </c>
      <c r="P215" t="s">
        <v>101</v>
      </c>
      <c r="Q215">
        <v>16.44411667</v>
      </c>
      <c r="R215">
        <v>119.92153329999999</v>
      </c>
    </row>
    <row r="216" spans="1:18" x14ac:dyDescent="0.25">
      <c r="A216" t="s">
        <v>926</v>
      </c>
      <c r="B216" t="str">
        <f>_xlfn.IFNA(VLOOKUP(I216,WithCOI!A:B,2,FALSE),"No COI")</f>
        <v>With COI</v>
      </c>
      <c r="C216" t="str">
        <f>IF(_xlfn.IFNA(VLOOKUP(I216,WithITS2!A:A,1,FALSE),"None") = "None", "None","Yes")</f>
        <v>Yes</v>
      </c>
      <c r="D216" t="str">
        <f>IF(AND(B216="No COI",C216="Yes"),"Double check","OK")</f>
        <v>OK</v>
      </c>
      <c r="G216" t="s">
        <v>805</v>
      </c>
      <c r="H216" t="str">
        <f>G216</f>
        <v>Ts</v>
      </c>
      <c r="I216" t="s">
        <v>927</v>
      </c>
      <c r="J216" t="s">
        <v>927</v>
      </c>
      <c r="K216" t="s">
        <v>55</v>
      </c>
      <c r="L216" t="s">
        <v>97</v>
      </c>
      <c r="M216" t="s">
        <v>928</v>
      </c>
      <c r="N216" t="s">
        <v>929</v>
      </c>
      <c r="O216" t="s">
        <v>100</v>
      </c>
      <c r="P216" t="s">
        <v>101</v>
      </c>
      <c r="Q216">
        <v>16.44411667</v>
      </c>
      <c r="R216">
        <v>119.92153329999999</v>
      </c>
    </row>
  </sheetData>
  <autoFilter ref="A1:Z216" xr:uid="{FD860112-811C-4A23-91B9-13684506D500}">
    <sortState xmlns:xlrd2="http://schemas.microsoft.com/office/spreadsheetml/2017/richdata2" ref="A2:Z216">
      <sortCondition ref="H2:H216"/>
      <sortCondition ref="I2:I216"/>
    </sortState>
  </autoFilter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B9401-ED55-4909-AD24-39745CFE936D}">
  <dimension ref="A1:B160"/>
  <sheetViews>
    <sheetView workbookViewId="0">
      <selection activeCell="F29" sqref="F29"/>
    </sheetView>
  </sheetViews>
  <sheetFormatPr defaultRowHeight="12.5" x14ac:dyDescent="0.25"/>
  <sheetData>
    <row r="1" spans="1:2" x14ac:dyDescent="0.25">
      <c r="A1" t="s">
        <v>933</v>
      </c>
      <c r="B1" t="s">
        <v>934</v>
      </c>
    </row>
    <row r="2" spans="1:2" x14ac:dyDescent="0.25">
      <c r="A2" t="s">
        <v>710</v>
      </c>
      <c r="B2" t="s">
        <v>935</v>
      </c>
    </row>
    <row r="3" spans="1:2" x14ac:dyDescent="0.25">
      <c r="A3" t="s">
        <v>46</v>
      </c>
      <c r="B3" t="s">
        <v>935</v>
      </c>
    </row>
    <row r="4" spans="1:2" x14ac:dyDescent="0.25">
      <c r="A4" t="s">
        <v>74</v>
      </c>
      <c r="B4" t="s">
        <v>935</v>
      </c>
    </row>
    <row r="5" spans="1:2" x14ac:dyDescent="0.25">
      <c r="A5" t="s">
        <v>895</v>
      </c>
      <c r="B5" t="s">
        <v>935</v>
      </c>
    </row>
    <row r="6" spans="1:2" x14ac:dyDescent="0.25">
      <c r="A6" t="s">
        <v>899</v>
      </c>
      <c r="B6" t="s">
        <v>935</v>
      </c>
    </row>
    <row r="7" spans="1:2" x14ac:dyDescent="0.25">
      <c r="A7" t="s">
        <v>887</v>
      </c>
      <c r="B7" t="s">
        <v>935</v>
      </c>
    </row>
    <row r="8" spans="1:2" x14ac:dyDescent="0.25">
      <c r="A8" t="s">
        <v>891</v>
      </c>
      <c r="B8" t="s">
        <v>935</v>
      </c>
    </row>
    <row r="9" spans="1:2" x14ac:dyDescent="0.25">
      <c r="A9" t="s">
        <v>883</v>
      </c>
      <c r="B9" t="s">
        <v>935</v>
      </c>
    </row>
    <row r="10" spans="1:2" x14ac:dyDescent="0.25">
      <c r="A10" t="s">
        <v>61</v>
      </c>
      <c r="B10" t="s">
        <v>935</v>
      </c>
    </row>
    <row r="11" spans="1:2" x14ac:dyDescent="0.25">
      <c r="A11" t="s">
        <v>772</v>
      </c>
      <c r="B11" t="s">
        <v>935</v>
      </c>
    </row>
    <row r="12" spans="1:2" x14ac:dyDescent="0.25">
      <c r="A12" t="s">
        <v>903</v>
      </c>
      <c r="B12" t="s">
        <v>935</v>
      </c>
    </row>
    <row r="13" spans="1:2" x14ac:dyDescent="0.25">
      <c r="A13" t="s">
        <v>751</v>
      </c>
      <c r="B13" t="s">
        <v>935</v>
      </c>
    </row>
    <row r="14" spans="1:2" x14ac:dyDescent="0.25">
      <c r="A14" t="s">
        <v>186</v>
      </c>
      <c r="B14" t="s">
        <v>935</v>
      </c>
    </row>
    <row r="15" spans="1:2" x14ac:dyDescent="0.25">
      <c r="A15" t="s">
        <v>155</v>
      </c>
      <c r="B15" t="s">
        <v>935</v>
      </c>
    </row>
    <row r="16" spans="1:2" x14ac:dyDescent="0.25">
      <c r="A16" t="s">
        <v>211</v>
      </c>
      <c r="B16" t="s">
        <v>935</v>
      </c>
    </row>
    <row r="17" spans="1:2" x14ac:dyDescent="0.25">
      <c r="A17" t="s">
        <v>661</v>
      </c>
      <c r="B17" t="s">
        <v>935</v>
      </c>
    </row>
    <row r="18" spans="1:2" x14ac:dyDescent="0.25">
      <c r="A18" t="s">
        <v>706</v>
      </c>
      <c r="B18" t="s">
        <v>935</v>
      </c>
    </row>
    <row r="19" spans="1:2" x14ac:dyDescent="0.25">
      <c r="A19" t="s">
        <v>190</v>
      </c>
      <c r="B19" t="s">
        <v>935</v>
      </c>
    </row>
    <row r="20" spans="1:2" x14ac:dyDescent="0.25">
      <c r="A20" t="s">
        <v>203</v>
      </c>
      <c r="B20" t="s">
        <v>935</v>
      </c>
    </row>
    <row r="21" spans="1:2" x14ac:dyDescent="0.25">
      <c r="A21" t="s">
        <v>726</v>
      </c>
      <c r="B21" t="s">
        <v>935</v>
      </c>
    </row>
    <row r="22" spans="1:2" x14ac:dyDescent="0.25">
      <c r="A22" t="s">
        <v>619</v>
      </c>
      <c r="B22" t="s">
        <v>935</v>
      </c>
    </row>
    <row r="23" spans="1:2" x14ac:dyDescent="0.25">
      <c r="A23" t="s">
        <v>647</v>
      </c>
      <c r="B23" t="s">
        <v>935</v>
      </c>
    </row>
    <row r="24" spans="1:2" x14ac:dyDescent="0.25">
      <c r="A24" t="s">
        <v>718</v>
      </c>
      <c r="B24" t="s">
        <v>935</v>
      </c>
    </row>
    <row r="25" spans="1:2" x14ac:dyDescent="0.25">
      <c r="A25" t="s">
        <v>643</v>
      </c>
      <c r="B25" t="s">
        <v>935</v>
      </c>
    </row>
    <row r="26" spans="1:2" x14ac:dyDescent="0.25">
      <c r="A26" t="s">
        <v>827</v>
      </c>
      <c r="B26" t="s">
        <v>935</v>
      </c>
    </row>
    <row r="27" spans="1:2" x14ac:dyDescent="0.25">
      <c r="A27" t="s">
        <v>722</v>
      </c>
      <c r="B27" t="s">
        <v>935</v>
      </c>
    </row>
    <row r="28" spans="1:2" x14ac:dyDescent="0.25">
      <c r="A28" t="s">
        <v>631</v>
      </c>
      <c r="B28" t="s">
        <v>935</v>
      </c>
    </row>
    <row r="29" spans="1:2" x14ac:dyDescent="0.25">
      <c r="A29" t="s">
        <v>776</v>
      </c>
      <c r="B29" t="s">
        <v>935</v>
      </c>
    </row>
    <row r="30" spans="1:2" x14ac:dyDescent="0.25">
      <c r="A30" t="s">
        <v>835</v>
      </c>
      <c r="B30" t="s">
        <v>935</v>
      </c>
    </row>
    <row r="31" spans="1:2" x14ac:dyDescent="0.25">
      <c r="A31" t="s">
        <v>794</v>
      </c>
      <c r="B31" t="s">
        <v>935</v>
      </c>
    </row>
    <row r="32" spans="1:2" x14ac:dyDescent="0.25">
      <c r="A32" t="s">
        <v>851</v>
      </c>
      <c r="B32" t="s">
        <v>935</v>
      </c>
    </row>
    <row r="33" spans="1:2" x14ac:dyDescent="0.25">
      <c r="A33" t="s">
        <v>764</v>
      </c>
      <c r="B33" t="s">
        <v>935</v>
      </c>
    </row>
    <row r="34" spans="1:2" x14ac:dyDescent="0.25">
      <c r="A34" t="s">
        <v>798</v>
      </c>
      <c r="B34" t="s">
        <v>935</v>
      </c>
    </row>
    <row r="35" spans="1:2" x14ac:dyDescent="0.25">
      <c r="A35" t="s">
        <v>839</v>
      </c>
      <c r="B35" t="s">
        <v>935</v>
      </c>
    </row>
    <row r="36" spans="1:2" x14ac:dyDescent="0.25">
      <c r="A36" t="s">
        <v>789</v>
      </c>
      <c r="B36" t="s">
        <v>935</v>
      </c>
    </row>
    <row r="37" spans="1:2" x14ac:dyDescent="0.25">
      <c r="A37" t="s">
        <v>78</v>
      </c>
      <c r="B37" t="s">
        <v>935</v>
      </c>
    </row>
    <row r="38" spans="1:2" x14ac:dyDescent="0.25">
      <c r="A38" t="s">
        <v>915</v>
      </c>
      <c r="B38" t="s">
        <v>935</v>
      </c>
    </row>
    <row r="39" spans="1:2" x14ac:dyDescent="0.25">
      <c r="A39" t="s">
        <v>768</v>
      </c>
      <c r="B39" t="s">
        <v>935</v>
      </c>
    </row>
    <row r="40" spans="1:2" x14ac:dyDescent="0.25">
      <c r="A40" t="s">
        <v>164</v>
      </c>
      <c r="B40" t="s">
        <v>935</v>
      </c>
    </row>
    <row r="41" spans="1:2" x14ac:dyDescent="0.25">
      <c r="A41" t="s">
        <v>243</v>
      </c>
      <c r="B41" t="s">
        <v>935</v>
      </c>
    </row>
    <row r="42" spans="1:2" x14ac:dyDescent="0.25">
      <c r="A42" t="s">
        <v>18</v>
      </c>
      <c r="B42" t="s">
        <v>935</v>
      </c>
    </row>
    <row r="43" spans="1:2" x14ac:dyDescent="0.25">
      <c r="A43" t="s">
        <v>111</v>
      </c>
      <c r="B43" t="s">
        <v>935</v>
      </c>
    </row>
    <row r="44" spans="1:2" x14ac:dyDescent="0.25">
      <c r="A44" t="s">
        <v>128</v>
      </c>
      <c r="B44" t="s">
        <v>935</v>
      </c>
    </row>
    <row r="45" spans="1:2" x14ac:dyDescent="0.25">
      <c r="A45" t="s">
        <v>116</v>
      </c>
      <c r="B45" t="s">
        <v>935</v>
      </c>
    </row>
    <row r="46" spans="1:2" x14ac:dyDescent="0.25">
      <c r="A46" t="s">
        <v>50</v>
      </c>
      <c r="B46" t="s">
        <v>935</v>
      </c>
    </row>
    <row r="47" spans="1:2" x14ac:dyDescent="0.25">
      <c r="A47" t="s">
        <v>538</v>
      </c>
      <c r="B47" t="s">
        <v>936</v>
      </c>
    </row>
    <row r="48" spans="1:2" x14ac:dyDescent="0.25">
      <c r="A48" t="s">
        <v>919</v>
      </c>
      <c r="B48" t="s">
        <v>935</v>
      </c>
    </row>
    <row r="49" spans="1:2" x14ac:dyDescent="0.25">
      <c r="A49" t="s">
        <v>923</v>
      </c>
      <c r="B49" t="s">
        <v>935</v>
      </c>
    </row>
    <row r="50" spans="1:2" x14ac:dyDescent="0.25">
      <c r="A50" t="s">
        <v>486</v>
      </c>
      <c r="B50" t="s">
        <v>935</v>
      </c>
    </row>
    <row r="51" spans="1:2" x14ac:dyDescent="0.25">
      <c r="A51" t="s">
        <v>478</v>
      </c>
      <c r="B51" t="s">
        <v>935</v>
      </c>
    </row>
    <row r="52" spans="1:2" x14ac:dyDescent="0.25">
      <c r="A52" t="s">
        <v>521</v>
      </c>
      <c r="B52" t="s">
        <v>935</v>
      </c>
    </row>
    <row r="53" spans="1:2" x14ac:dyDescent="0.25">
      <c r="A53" t="s">
        <v>512</v>
      </c>
      <c r="B53" t="s">
        <v>935</v>
      </c>
    </row>
    <row r="54" spans="1:2" x14ac:dyDescent="0.25">
      <c r="A54" t="s">
        <v>563</v>
      </c>
      <c r="B54" t="s">
        <v>935</v>
      </c>
    </row>
    <row r="55" spans="1:2" x14ac:dyDescent="0.25">
      <c r="A55" t="s">
        <v>547</v>
      </c>
      <c r="B55" t="s">
        <v>935</v>
      </c>
    </row>
    <row r="56" spans="1:2" x14ac:dyDescent="0.25">
      <c r="A56" t="s">
        <v>492</v>
      </c>
      <c r="B56" t="s">
        <v>935</v>
      </c>
    </row>
    <row r="57" spans="1:2" x14ac:dyDescent="0.25">
      <c r="A57" t="s">
        <v>517</v>
      </c>
      <c r="B57" t="s">
        <v>935</v>
      </c>
    </row>
    <row r="58" spans="1:2" x14ac:dyDescent="0.25">
      <c r="A58" t="s">
        <v>698</v>
      </c>
      <c r="B58" t="s">
        <v>935</v>
      </c>
    </row>
    <row r="59" spans="1:2" x14ac:dyDescent="0.25">
      <c r="A59" t="s">
        <v>651</v>
      </c>
      <c r="B59" t="s">
        <v>935</v>
      </c>
    </row>
    <row r="60" spans="1:2" x14ac:dyDescent="0.25">
      <c r="A60" t="s">
        <v>702</v>
      </c>
      <c r="B60" t="s">
        <v>935</v>
      </c>
    </row>
    <row r="61" spans="1:2" x14ac:dyDescent="0.25">
      <c r="A61" t="s">
        <v>694</v>
      </c>
      <c r="B61" t="s">
        <v>935</v>
      </c>
    </row>
    <row r="62" spans="1:2" x14ac:dyDescent="0.25">
      <c r="A62" t="s">
        <v>597</v>
      </c>
      <c r="B62" t="s">
        <v>935</v>
      </c>
    </row>
    <row r="63" spans="1:2" x14ac:dyDescent="0.25">
      <c r="A63" t="s">
        <v>614</v>
      </c>
      <c r="B63" t="s">
        <v>935</v>
      </c>
    </row>
    <row r="64" spans="1:2" x14ac:dyDescent="0.25">
      <c r="A64" t="s">
        <v>223</v>
      </c>
      <c r="B64" t="s">
        <v>935</v>
      </c>
    </row>
    <row r="65" spans="1:2" x14ac:dyDescent="0.25">
      <c r="A65" t="s">
        <v>588</v>
      </c>
      <c r="B65" t="s">
        <v>935</v>
      </c>
    </row>
    <row r="66" spans="1:2" x14ac:dyDescent="0.25">
      <c r="A66" t="s">
        <v>160</v>
      </c>
      <c r="B66" t="s">
        <v>935</v>
      </c>
    </row>
    <row r="67" spans="1:2" x14ac:dyDescent="0.25">
      <c r="A67" t="s">
        <v>747</v>
      </c>
      <c r="B67" t="s">
        <v>935</v>
      </c>
    </row>
    <row r="68" spans="1:2" x14ac:dyDescent="0.25">
      <c r="A68" t="s">
        <v>635</v>
      </c>
      <c r="B68" t="s">
        <v>935</v>
      </c>
    </row>
    <row r="69" spans="1:2" x14ac:dyDescent="0.25">
      <c r="A69" t="s">
        <v>831</v>
      </c>
      <c r="B69" t="s">
        <v>935</v>
      </c>
    </row>
    <row r="70" spans="1:2" x14ac:dyDescent="0.25">
      <c r="A70" t="s">
        <v>785</v>
      </c>
      <c r="B70" t="s">
        <v>935</v>
      </c>
    </row>
    <row r="71" spans="1:2" x14ac:dyDescent="0.25">
      <c r="A71" t="s">
        <v>927</v>
      </c>
      <c r="B71" t="s">
        <v>935</v>
      </c>
    </row>
    <row r="72" spans="1:2" x14ac:dyDescent="0.25">
      <c r="A72" t="s">
        <v>174</v>
      </c>
      <c r="B72" t="s">
        <v>935</v>
      </c>
    </row>
    <row r="73" spans="1:2" x14ac:dyDescent="0.25">
      <c r="A73" t="s">
        <v>572</v>
      </c>
      <c r="B73" t="s">
        <v>935</v>
      </c>
    </row>
    <row r="74" spans="1:2" x14ac:dyDescent="0.25">
      <c r="A74" t="s">
        <v>568</v>
      </c>
      <c r="B74" t="s">
        <v>935</v>
      </c>
    </row>
    <row r="75" spans="1:2" x14ac:dyDescent="0.25">
      <c r="A75" t="s">
        <v>482</v>
      </c>
      <c r="B75" t="s">
        <v>935</v>
      </c>
    </row>
    <row r="76" spans="1:2" x14ac:dyDescent="0.25">
      <c r="A76" t="s">
        <v>496</v>
      </c>
      <c r="B76" t="s">
        <v>935</v>
      </c>
    </row>
    <row r="77" spans="1:2" x14ac:dyDescent="0.25">
      <c r="A77" t="s">
        <v>508</v>
      </c>
      <c r="B77" t="s">
        <v>935</v>
      </c>
    </row>
    <row r="78" spans="1:2" x14ac:dyDescent="0.25">
      <c r="A78" t="s">
        <v>474</v>
      </c>
      <c r="B78" t="s">
        <v>935</v>
      </c>
    </row>
    <row r="79" spans="1:2" x14ac:dyDescent="0.25">
      <c r="A79" t="s">
        <v>559</v>
      </c>
      <c r="B79" t="s">
        <v>935</v>
      </c>
    </row>
    <row r="80" spans="1:2" x14ac:dyDescent="0.25">
      <c r="A80" t="s">
        <v>555</v>
      </c>
      <c r="B80" t="s">
        <v>935</v>
      </c>
    </row>
    <row r="81" spans="1:2" x14ac:dyDescent="0.25">
      <c r="A81" t="s">
        <v>103</v>
      </c>
      <c r="B81" t="s">
        <v>935</v>
      </c>
    </row>
    <row r="82" spans="1:2" x14ac:dyDescent="0.25">
      <c r="A82" t="s">
        <v>584</v>
      </c>
      <c r="B82" t="s">
        <v>935</v>
      </c>
    </row>
    <row r="83" spans="1:2" x14ac:dyDescent="0.25">
      <c r="A83" t="s">
        <v>107</v>
      </c>
      <c r="B83" t="s">
        <v>935</v>
      </c>
    </row>
    <row r="84" spans="1:2" x14ac:dyDescent="0.25">
      <c r="A84" t="s">
        <v>580</v>
      </c>
      <c r="B84" t="s">
        <v>935</v>
      </c>
    </row>
    <row r="85" spans="1:2" x14ac:dyDescent="0.25">
      <c r="A85" t="s">
        <v>96</v>
      </c>
      <c r="B85" t="s">
        <v>935</v>
      </c>
    </row>
    <row r="86" spans="1:2" x14ac:dyDescent="0.25">
      <c r="A86" t="s">
        <v>610</v>
      </c>
      <c r="B86" t="s">
        <v>935</v>
      </c>
    </row>
    <row r="87" spans="1:2" x14ac:dyDescent="0.25">
      <c r="A87" t="s">
        <v>606</v>
      </c>
      <c r="B87" t="s">
        <v>935</v>
      </c>
    </row>
    <row r="88" spans="1:2" x14ac:dyDescent="0.25">
      <c r="A88" t="s">
        <v>231</v>
      </c>
      <c r="B88" t="s">
        <v>935</v>
      </c>
    </row>
    <row r="89" spans="1:2" x14ac:dyDescent="0.25">
      <c r="A89" t="s">
        <v>601</v>
      </c>
      <c r="B89" t="s">
        <v>936</v>
      </c>
    </row>
    <row r="90" spans="1:2" x14ac:dyDescent="0.25">
      <c r="A90" t="s">
        <v>311</v>
      </c>
      <c r="B90" t="s">
        <v>935</v>
      </c>
    </row>
    <row r="91" spans="1:2" x14ac:dyDescent="0.25">
      <c r="A91" t="s">
        <v>319</v>
      </c>
      <c r="B91" t="s">
        <v>935</v>
      </c>
    </row>
    <row r="92" spans="1:2" x14ac:dyDescent="0.25">
      <c r="A92" t="s">
        <v>299</v>
      </c>
      <c r="B92" t="s">
        <v>935</v>
      </c>
    </row>
    <row r="93" spans="1:2" x14ac:dyDescent="0.25">
      <c r="A93" t="s">
        <v>907</v>
      </c>
      <c r="B93" t="s">
        <v>935</v>
      </c>
    </row>
    <row r="94" spans="1:2" x14ac:dyDescent="0.25">
      <c r="A94" t="s">
        <v>92</v>
      </c>
      <c r="B94" t="s">
        <v>935</v>
      </c>
    </row>
    <row r="95" spans="1:2" x14ac:dyDescent="0.25">
      <c r="A95" t="s">
        <v>88</v>
      </c>
      <c r="B95" t="s">
        <v>935</v>
      </c>
    </row>
    <row r="96" spans="1:2" x14ac:dyDescent="0.25">
      <c r="A96" t="s">
        <v>82</v>
      </c>
      <c r="B96" t="s">
        <v>935</v>
      </c>
    </row>
    <row r="97" spans="1:2" x14ac:dyDescent="0.25">
      <c r="A97" t="s">
        <v>327</v>
      </c>
      <c r="B97" t="s">
        <v>935</v>
      </c>
    </row>
    <row r="98" spans="1:2" x14ac:dyDescent="0.25">
      <c r="A98" t="s">
        <v>323</v>
      </c>
      <c r="B98" t="s">
        <v>935</v>
      </c>
    </row>
    <row r="99" spans="1:2" x14ac:dyDescent="0.25">
      <c r="A99" t="s">
        <v>315</v>
      </c>
      <c r="B99" t="s">
        <v>935</v>
      </c>
    </row>
    <row r="100" spans="1:2" x14ac:dyDescent="0.25">
      <c r="A100" t="s">
        <v>307</v>
      </c>
      <c r="B100" t="s">
        <v>935</v>
      </c>
    </row>
    <row r="101" spans="1:2" x14ac:dyDescent="0.25">
      <c r="A101" t="s">
        <v>674</v>
      </c>
      <c r="B101" t="s">
        <v>935</v>
      </c>
    </row>
    <row r="102" spans="1:2" x14ac:dyDescent="0.25">
      <c r="A102" t="s">
        <v>657</v>
      </c>
      <c r="B102" t="s">
        <v>935</v>
      </c>
    </row>
    <row r="103" spans="1:2" x14ac:dyDescent="0.25">
      <c r="A103" t="s">
        <v>911</v>
      </c>
      <c r="B103" t="s">
        <v>935</v>
      </c>
    </row>
    <row r="104" spans="1:2" x14ac:dyDescent="0.25">
      <c r="A104" t="s">
        <v>530</v>
      </c>
      <c r="B104" t="s">
        <v>935</v>
      </c>
    </row>
    <row r="105" spans="1:2" x14ac:dyDescent="0.25">
      <c r="A105" t="s">
        <v>690</v>
      </c>
      <c r="B105" t="s">
        <v>935</v>
      </c>
    </row>
    <row r="106" spans="1:2" x14ac:dyDescent="0.25">
      <c r="A106" t="s">
        <v>593</v>
      </c>
      <c r="B106" t="s">
        <v>935</v>
      </c>
    </row>
    <row r="107" spans="1:2" x14ac:dyDescent="0.25">
      <c r="A107" t="s">
        <v>534</v>
      </c>
      <c r="B107" t="s">
        <v>935</v>
      </c>
    </row>
    <row r="108" spans="1:2" x14ac:dyDescent="0.25">
      <c r="A108" t="s">
        <v>682</v>
      </c>
      <c r="B108" t="s">
        <v>935</v>
      </c>
    </row>
    <row r="109" spans="1:2" x14ac:dyDescent="0.25">
      <c r="A109" t="s">
        <v>665</v>
      </c>
      <c r="B109" t="s">
        <v>935</v>
      </c>
    </row>
    <row r="110" spans="1:2" x14ac:dyDescent="0.25">
      <c r="A110" t="s">
        <v>627</v>
      </c>
      <c r="B110" t="s">
        <v>935</v>
      </c>
    </row>
    <row r="111" spans="1:2" x14ac:dyDescent="0.25">
      <c r="A111" t="s">
        <v>253</v>
      </c>
      <c r="B111" t="s">
        <v>935</v>
      </c>
    </row>
    <row r="112" spans="1:2" x14ac:dyDescent="0.25">
      <c r="A112" t="s">
        <v>249</v>
      </c>
      <c r="B112" t="s">
        <v>935</v>
      </c>
    </row>
    <row r="113" spans="1:2" x14ac:dyDescent="0.25">
      <c r="A113" t="s">
        <v>670</v>
      </c>
      <c r="B113" t="s">
        <v>935</v>
      </c>
    </row>
    <row r="114" spans="1:2" x14ac:dyDescent="0.25">
      <c r="A114" t="s">
        <v>219</v>
      </c>
      <c r="B114" t="s">
        <v>935</v>
      </c>
    </row>
    <row r="115" spans="1:2" x14ac:dyDescent="0.25">
      <c r="A115" t="s">
        <v>525</v>
      </c>
      <c r="B115" t="s">
        <v>935</v>
      </c>
    </row>
    <row r="116" spans="1:2" x14ac:dyDescent="0.25">
      <c r="A116" t="s">
        <v>124</v>
      </c>
      <c r="B116" t="s">
        <v>935</v>
      </c>
    </row>
    <row r="117" spans="1:2" x14ac:dyDescent="0.25">
      <c r="A117" t="s">
        <v>38</v>
      </c>
      <c r="B117" t="s">
        <v>936</v>
      </c>
    </row>
    <row r="118" spans="1:2" x14ac:dyDescent="0.25">
      <c r="A118" t="s">
        <v>843</v>
      </c>
      <c r="B118" t="s">
        <v>935</v>
      </c>
    </row>
    <row r="119" spans="1:2" x14ac:dyDescent="0.25">
      <c r="A119" t="s">
        <v>859</v>
      </c>
      <c r="B119" t="s">
        <v>935</v>
      </c>
    </row>
    <row r="120" spans="1:2" x14ac:dyDescent="0.25">
      <c r="A120" t="s">
        <v>34</v>
      </c>
      <c r="B120" t="s">
        <v>935</v>
      </c>
    </row>
    <row r="121" spans="1:2" x14ac:dyDescent="0.25">
      <c r="A121" t="s">
        <v>42</v>
      </c>
      <c r="B121" t="s">
        <v>935</v>
      </c>
    </row>
    <row r="122" spans="1:2" x14ac:dyDescent="0.25">
      <c r="A122" t="s">
        <v>120</v>
      </c>
      <c r="B122" t="s">
        <v>935</v>
      </c>
    </row>
    <row r="123" spans="1:2" x14ac:dyDescent="0.25">
      <c r="A123" t="s">
        <v>27</v>
      </c>
      <c r="B123" t="s">
        <v>935</v>
      </c>
    </row>
    <row r="124" spans="1:2" x14ac:dyDescent="0.25">
      <c r="A124" t="s">
        <v>551</v>
      </c>
      <c r="B124" t="s">
        <v>935</v>
      </c>
    </row>
    <row r="125" spans="1:2" x14ac:dyDescent="0.25">
      <c r="A125" t="s">
        <v>295</v>
      </c>
      <c r="B125" t="s">
        <v>935</v>
      </c>
    </row>
    <row r="126" spans="1:2" x14ac:dyDescent="0.25">
      <c r="A126" t="s">
        <v>303</v>
      </c>
      <c r="B126" t="s">
        <v>935</v>
      </c>
    </row>
    <row r="127" spans="1:2" x14ac:dyDescent="0.25">
      <c r="A127" t="s">
        <v>504</v>
      </c>
      <c r="B127" t="s">
        <v>935</v>
      </c>
    </row>
    <row r="128" spans="1:2" x14ac:dyDescent="0.25">
      <c r="A128" t="s">
        <v>576</v>
      </c>
      <c r="B128" t="s">
        <v>935</v>
      </c>
    </row>
    <row r="129" spans="1:2" x14ac:dyDescent="0.25">
      <c r="A129" t="s">
        <v>867</v>
      </c>
      <c r="B129" t="s">
        <v>935</v>
      </c>
    </row>
    <row r="130" spans="1:2" x14ac:dyDescent="0.25">
      <c r="A130" t="s">
        <v>282</v>
      </c>
      <c r="B130" t="s">
        <v>935</v>
      </c>
    </row>
    <row r="131" spans="1:2" x14ac:dyDescent="0.25">
      <c r="A131" t="s">
        <v>678</v>
      </c>
      <c r="B131" t="s">
        <v>935</v>
      </c>
    </row>
    <row r="132" spans="1:2" x14ac:dyDescent="0.25">
      <c r="A132" t="s">
        <v>780</v>
      </c>
      <c r="B132" t="s">
        <v>935</v>
      </c>
    </row>
    <row r="133" spans="1:2" x14ac:dyDescent="0.25">
      <c r="A133" t="s">
        <v>760</v>
      </c>
      <c r="B133" t="s">
        <v>935</v>
      </c>
    </row>
    <row r="134" spans="1:2" x14ac:dyDescent="0.25">
      <c r="A134" t="s">
        <v>755</v>
      </c>
      <c r="B134" t="s">
        <v>935</v>
      </c>
    </row>
    <row r="135" spans="1:2" x14ac:dyDescent="0.25">
      <c r="A135" t="s">
        <v>182</v>
      </c>
      <c r="B135" t="s">
        <v>935</v>
      </c>
    </row>
    <row r="136" spans="1:2" x14ac:dyDescent="0.25">
      <c r="A136" t="s">
        <v>863</v>
      </c>
      <c r="B136" t="s">
        <v>935</v>
      </c>
    </row>
    <row r="137" spans="1:2" x14ac:dyDescent="0.25">
      <c r="A137" t="s">
        <v>235</v>
      </c>
      <c r="B137" t="s">
        <v>935</v>
      </c>
    </row>
    <row r="138" spans="1:2" x14ac:dyDescent="0.25">
      <c r="A138" t="s">
        <v>239</v>
      </c>
      <c r="B138" t="s">
        <v>935</v>
      </c>
    </row>
    <row r="139" spans="1:2" x14ac:dyDescent="0.25">
      <c r="A139" t="s">
        <v>69</v>
      </c>
      <c r="B139" t="s">
        <v>935</v>
      </c>
    </row>
    <row r="140" spans="1:2" x14ac:dyDescent="0.25">
      <c r="A140" t="s">
        <v>714</v>
      </c>
      <c r="B140" t="s">
        <v>935</v>
      </c>
    </row>
    <row r="141" spans="1:2" x14ac:dyDescent="0.25">
      <c r="A141" t="s">
        <v>195</v>
      </c>
      <c r="B141" t="s">
        <v>935</v>
      </c>
    </row>
    <row r="142" spans="1:2" x14ac:dyDescent="0.25">
      <c r="A142" t="s">
        <v>686</v>
      </c>
      <c r="B142" t="s">
        <v>935</v>
      </c>
    </row>
    <row r="143" spans="1:2" x14ac:dyDescent="0.25">
      <c r="A143" t="s">
        <v>54</v>
      </c>
      <c r="B143" t="s">
        <v>935</v>
      </c>
    </row>
    <row r="144" spans="1:2" x14ac:dyDescent="0.25">
      <c r="A144" t="s">
        <v>871</v>
      </c>
      <c r="B144" t="s">
        <v>935</v>
      </c>
    </row>
    <row r="145" spans="1:2" x14ac:dyDescent="0.25">
      <c r="A145" t="s">
        <v>879</v>
      </c>
      <c r="B145" t="s">
        <v>935</v>
      </c>
    </row>
    <row r="146" spans="1:2" x14ac:dyDescent="0.25">
      <c r="A146" t="s">
        <v>639</v>
      </c>
      <c r="B146" t="s">
        <v>935</v>
      </c>
    </row>
    <row r="147" spans="1:2" x14ac:dyDescent="0.25">
      <c r="A147" t="s">
        <v>207</v>
      </c>
      <c r="B147" t="s">
        <v>935</v>
      </c>
    </row>
    <row r="148" spans="1:2" x14ac:dyDescent="0.25">
      <c r="A148" t="s">
        <v>170</v>
      </c>
      <c r="B148" t="s">
        <v>935</v>
      </c>
    </row>
    <row r="149" spans="1:2" x14ac:dyDescent="0.25">
      <c r="A149" t="s">
        <v>847</v>
      </c>
      <c r="B149" t="s">
        <v>935</v>
      </c>
    </row>
    <row r="150" spans="1:2" x14ac:dyDescent="0.25">
      <c r="A150" t="s">
        <v>623</v>
      </c>
      <c r="B150" t="s">
        <v>935</v>
      </c>
    </row>
    <row r="151" spans="1:2" x14ac:dyDescent="0.25">
      <c r="A151" t="s">
        <v>215</v>
      </c>
      <c r="B151" t="s">
        <v>935</v>
      </c>
    </row>
    <row r="152" spans="1:2" x14ac:dyDescent="0.25">
      <c r="A152" t="s">
        <v>543</v>
      </c>
      <c r="B152" t="s">
        <v>935</v>
      </c>
    </row>
    <row r="153" spans="1:2" x14ac:dyDescent="0.25">
      <c r="A153" t="s">
        <v>855</v>
      </c>
      <c r="B153" t="s">
        <v>935</v>
      </c>
    </row>
    <row r="154" spans="1:2" x14ac:dyDescent="0.25">
      <c r="A154" t="s">
        <v>227</v>
      </c>
      <c r="B154" t="s">
        <v>935</v>
      </c>
    </row>
    <row r="155" spans="1:2" x14ac:dyDescent="0.25">
      <c r="A155" t="s">
        <v>199</v>
      </c>
      <c r="B155" t="s">
        <v>935</v>
      </c>
    </row>
    <row r="156" spans="1:2" x14ac:dyDescent="0.25">
      <c r="A156" t="s">
        <v>286</v>
      </c>
      <c r="B156" t="s">
        <v>935</v>
      </c>
    </row>
    <row r="157" spans="1:2" x14ac:dyDescent="0.25">
      <c r="A157" t="s">
        <v>291</v>
      </c>
      <c r="B157" t="s">
        <v>935</v>
      </c>
    </row>
    <row r="158" spans="1:2" x14ac:dyDescent="0.25">
      <c r="A158" t="s">
        <v>65</v>
      </c>
      <c r="B158" t="s">
        <v>935</v>
      </c>
    </row>
    <row r="159" spans="1:2" x14ac:dyDescent="0.25">
      <c r="A159" t="s">
        <v>178</v>
      </c>
      <c r="B159" t="s">
        <v>935</v>
      </c>
    </row>
    <row r="160" spans="1:2" x14ac:dyDescent="0.25">
      <c r="A160" t="s">
        <v>875</v>
      </c>
      <c r="B160" t="s">
        <v>935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F21FE-7298-4DB9-98BC-508D901F2EFE}">
  <dimension ref="A1:A159"/>
  <sheetViews>
    <sheetView workbookViewId="0">
      <selection activeCell="J20" sqref="J20"/>
    </sheetView>
  </sheetViews>
  <sheetFormatPr defaultRowHeight="12.5" x14ac:dyDescent="0.25"/>
  <sheetData>
    <row r="1" spans="1:1" x14ac:dyDescent="0.25">
      <c r="A1" t="s">
        <v>710</v>
      </c>
    </row>
    <row r="2" spans="1:1" x14ac:dyDescent="0.25">
      <c r="A2" t="s">
        <v>46</v>
      </c>
    </row>
    <row r="3" spans="1:1" x14ac:dyDescent="0.25">
      <c r="A3" t="s">
        <v>74</v>
      </c>
    </row>
    <row r="4" spans="1:1" x14ac:dyDescent="0.25">
      <c r="A4" t="s">
        <v>895</v>
      </c>
    </row>
    <row r="5" spans="1:1" x14ac:dyDescent="0.25">
      <c r="A5" t="s">
        <v>899</v>
      </c>
    </row>
    <row r="6" spans="1:1" x14ac:dyDescent="0.25">
      <c r="A6" t="s">
        <v>887</v>
      </c>
    </row>
    <row r="7" spans="1:1" x14ac:dyDescent="0.25">
      <c r="A7" t="s">
        <v>891</v>
      </c>
    </row>
    <row r="8" spans="1:1" x14ac:dyDescent="0.25">
      <c r="A8" t="s">
        <v>883</v>
      </c>
    </row>
    <row r="9" spans="1:1" x14ac:dyDescent="0.25">
      <c r="A9" t="s">
        <v>61</v>
      </c>
    </row>
    <row r="10" spans="1:1" x14ac:dyDescent="0.25">
      <c r="A10" t="s">
        <v>772</v>
      </c>
    </row>
    <row r="11" spans="1:1" x14ac:dyDescent="0.25">
      <c r="A11" t="s">
        <v>903</v>
      </c>
    </row>
    <row r="12" spans="1:1" x14ac:dyDescent="0.25">
      <c r="A12" t="s">
        <v>751</v>
      </c>
    </row>
    <row r="13" spans="1:1" x14ac:dyDescent="0.25">
      <c r="A13" t="s">
        <v>186</v>
      </c>
    </row>
    <row r="14" spans="1:1" x14ac:dyDescent="0.25">
      <c r="A14" t="s">
        <v>155</v>
      </c>
    </row>
    <row r="15" spans="1:1" x14ac:dyDescent="0.25">
      <c r="A15" t="s">
        <v>211</v>
      </c>
    </row>
    <row r="16" spans="1:1" x14ac:dyDescent="0.25">
      <c r="A16" t="s">
        <v>661</v>
      </c>
    </row>
    <row r="17" spans="1:1" x14ac:dyDescent="0.25">
      <c r="A17" t="s">
        <v>706</v>
      </c>
    </row>
    <row r="18" spans="1:1" x14ac:dyDescent="0.25">
      <c r="A18" t="s">
        <v>190</v>
      </c>
    </row>
    <row r="19" spans="1:1" x14ac:dyDescent="0.25">
      <c r="A19" t="s">
        <v>203</v>
      </c>
    </row>
    <row r="20" spans="1:1" x14ac:dyDescent="0.25">
      <c r="A20" t="s">
        <v>726</v>
      </c>
    </row>
    <row r="21" spans="1:1" x14ac:dyDescent="0.25">
      <c r="A21" t="s">
        <v>619</v>
      </c>
    </row>
    <row r="22" spans="1:1" x14ac:dyDescent="0.25">
      <c r="A22" t="s">
        <v>647</v>
      </c>
    </row>
    <row r="23" spans="1:1" x14ac:dyDescent="0.25">
      <c r="A23" t="s">
        <v>718</v>
      </c>
    </row>
    <row r="24" spans="1:1" x14ac:dyDescent="0.25">
      <c r="A24" t="s">
        <v>643</v>
      </c>
    </row>
    <row r="25" spans="1:1" x14ac:dyDescent="0.25">
      <c r="A25" t="s">
        <v>827</v>
      </c>
    </row>
    <row r="26" spans="1:1" x14ac:dyDescent="0.25">
      <c r="A26" t="s">
        <v>722</v>
      </c>
    </row>
    <row r="27" spans="1:1" x14ac:dyDescent="0.25">
      <c r="A27" t="s">
        <v>631</v>
      </c>
    </row>
    <row r="28" spans="1:1" x14ac:dyDescent="0.25">
      <c r="A28" t="s">
        <v>776</v>
      </c>
    </row>
    <row r="29" spans="1:1" x14ac:dyDescent="0.25">
      <c r="A29" t="s">
        <v>835</v>
      </c>
    </row>
    <row r="30" spans="1:1" x14ac:dyDescent="0.25">
      <c r="A30" t="s">
        <v>794</v>
      </c>
    </row>
    <row r="31" spans="1:1" x14ac:dyDescent="0.25">
      <c r="A31" t="s">
        <v>851</v>
      </c>
    </row>
    <row r="32" spans="1:1" x14ac:dyDescent="0.25">
      <c r="A32" t="s">
        <v>764</v>
      </c>
    </row>
    <row r="33" spans="1:1" x14ac:dyDescent="0.25">
      <c r="A33" t="s">
        <v>798</v>
      </c>
    </row>
    <row r="34" spans="1:1" x14ac:dyDescent="0.25">
      <c r="A34" t="s">
        <v>839</v>
      </c>
    </row>
    <row r="35" spans="1:1" x14ac:dyDescent="0.25">
      <c r="A35" t="s">
        <v>789</v>
      </c>
    </row>
    <row r="36" spans="1:1" x14ac:dyDescent="0.25">
      <c r="A36" t="s">
        <v>78</v>
      </c>
    </row>
    <row r="37" spans="1:1" x14ac:dyDescent="0.25">
      <c r="A37" t="s">
        <v>915</v>
      </c>
    </row>
    <row r="38" spans="1:1" x14ac:dyDescent="0.25">
      <c r="A38" t="s">
        <v>768</v>
      </c>
    </row>
    <row r="39" spans="1:1" x14ac:dyDescent="0.25">
      <c r="A39" t="s">
        <v>164</v>
      </c>
    </row>
    <row r="40" spans="1:1" x14ac:dyDescent="0.25">
      <c r="A40" t="s">
        <v>243</v>
      </c>
    </row>
    <row r="41" spans="1:1" x14ac:dyDescent="0.25">
      <c r="A41" t="s">
        <v>18</v>
      </c>
    </row>
    <row r="42" spans="1:1" x14ac:dyDescent="0.25">
      <c r="A42" t="s">
        <v>111</v>
      </c>
    </row>
    <row r="43" spans="1:1" x14ac:dyDescent="0.25">
      <c r="A43" t="s">
        <v>128</v>
      </c>
    </row>
    <row r="44" spans="1:1" x14ac:dyDescent="0.25">
      <c r="A44" t="s">
        <v>116</v>
      </c>
    </row>
    <row r="45" spans="1:1" x14ac:dyDescent="0.25">
      <c r="A45" t="s">
        <v>50</v>
      </c>
    </row>
    <row r="46" spans="1:1" x14ac:dyDescent="0.25">
      <c r="A46" t="s">
        <v>538</v>
      </c>
    </row>
    <row r="47" spans="1:1" x14ac:dyDescent="0.25">
      <c r="A47" t="s">
        <v>919</v>
      </c>
    </row>
    <row r="48" spans="1:1" x14ac:dyDescent="0.25">
      <c r="A48" t="s">
        <v>923</v>
      </c>
    </row>
    <row r="49" spans="1:1" x14ac:dyDescent="0.25">
      <c r="A49" t="s">
        <v>486</v>
      </c>
    </row>
    <row r="50" spans="1:1" x14ac:dyDescent="0.25">
      <c r="A50" t="s">
        <v>478</v>
      </c>
    </row>
    <row r="51" spans="1:1" x14ac:dyDescent="0.25">
      <c r="A51" t="s">
        <v>521</v>
      </c>
    </row>
    <row r="52" spans="1:1" x14ac:dyDescent="0.25">
      <c r="A52" t="s">
        <v>512</v>
      </c>
    </row>
    <row r="53" spans="1:1" x14ac:dyDescent="0.25">
      <c r="A53" t="s">
        <v>563</v>
      </c>
    </row>
    <row r="54" spans="1:1" x14ac:dyDescent="0.25">
      <c r="A54" t="s">
        <v>547</v>
      </c>
    </row>
    <row r="55" spans="1:1" x14ac:dyDescent="0.25">
      <c r="A55" t="s">
        <v>492</v>
      </c>
    </row>
    <row r="56" spans="1:1" x14ac:dyDescent="0.25">
      <c r="A56" t="s">
        <v>517</v>
      </c>
    </row>
    <row r="57" spans="1:1" x14ac:dyDescent="0.25">
      <c r="A57" t="s">
        <v>698</v>
      </c>
    </row>
    <row r="58" spans="1:1" x14ac:dyDescent="0.25">
      <c r="A58" t="s">
        <v>651</v>
      </c>
    </row>
    <row r="59" spans="1:1" x14ac:dyDescent="0.25">
      <c r="A59" t="s">
        <v>702</v>
      </c>
    </row>
    <row r="60" spans="1:1" x14ac:dyDescent="0.25">
      <c r="A60" t="s">
        <v>694</v>
      </c>
    </row>
    <row r="61" spans="1:1" x14ac:dyDescent="0.25">
      <c r="A61" t="s">
        <v>597</v>
      </c>
    </row>
    <row r="62" spans="1:1" x14ac:dyDescent="0.25">
      <c r="A62" t="s">
        <v>614</v>
      </c>
    </row>
    <row r="63" spans="1:1" x14ac:dyDescent="0.25">
      <c r="A63" t="s">
        <v>223</v>
      </c>
    </row>
    <row r="64" spans="1:1" x14ac:dyDescent="0.25">
      <c r="A64" t="s">
        <v>588</v>
      </c>
    </row>
    <row r="65" spans="1:1" x14ac:dyDescent="0.25">
      <c r="A65" t="s">
        <v>160</v>
      </c>
    </row>
    <row r="66" spans="1:1" x14ac:dyDescent="0.25">
      <c r="A66" t="s">
        <v>747</v>
      </c>
    </row>
    <row r="67" spans="1:1" x14ac:dyDescent="0.25">
      <c r="A67" t="s">
        <v>635</v>
      </c>
    </row>
    <row r="68" spans="1:1" x14ac:dyDescent="0.25">
      <c r="A68" t="s">
        <v>831</v>
      </c>
    </row>
    <row r="69" spans="1:1" x14ac:dyDescent="0.25">
      <c r="A69" t="s">
        <v>785</v>
      </c>
    </row>
    <row r="70" spans="1:1" x14ac:dyDescent="0.25">
      <c r="A70" t="s">
        <v>927</v>
      </c>
    </row>
    <row r="71" spans="1:1" x14ac:dyDescent="0.25">
      <c r="A71" t="s">
        <v>174</v>
      </c>
    </row>
    <row r="72" spans="1:1" x14ac:dyDescent="0.25">
      <c r="A72" t="s">
        <v>572</v>
      </c>
    </row>
    <row r="73" spans="1:1" x14ac:dyDescent="0.25">
      <c r="A73" t="s">
        <v>568</v>
      </c>
    </row>
    <row r="74" spans="1:1" x14ac:dyDescent="0.25">
      <c r="A74" t="s">
        <v>482</v>
      </c>
    </row>
    <row r="75" spans="1:1" x14ac:dyDescent="0.25">
      <c r="A75" t="s">
        <v>496</v>
      </c>
    </row>
    <row r="76" spans="1:1" x14ac:dyDescent="0.25">
      <c r="A76" t="s">
        <v>508</v>
      </c>
    </row>
    <row r="77" spans="1:1" x14ac:dyDescent="0.25">
      <c r="A77" t="s">
        <v>474</v>
      </c>
    </row>
    <row r="78" spans="1:1" x14ac:dyDescent="0.25">
      <c r="A78" t="s">
        <v>559</v>
      </c>
    </row>
    <row r="79" spans="1:1" x14ac:dyDescent="0.25">
      <c r="A79" t="s">
        <v>555</v>
      </c>
    </row>
    <row r="80" spans="1:1" x14ac:dyDescent="0.25">
      <c r="A80" t="s">
        <v>103</v>
      </c>
    </row>
    <row r="81" spans="1:1" x14ac:dyDescent="0.25">
      <c r="A81" t="s">
        <v>584</v>
      </c>
    </row>
    <row r="82" spans="1:1" x14ac:dyDescent="0.25">
      <c r="A82" t="s">
        <v>107</v>
      </c>
    </row>
    <row r="83" spans="1:1" x14ac:dyDescent="0.25">
      <c r="A83" t="s">
        <v>580</v>
      </c>
    </row>
    <row r="84" spans="1:1" x14ac:dyDescent="0.25">
      <c r="A84" t="s">
        <v>96</v>
      </c>
    </row>
    <row r="85" spans="1:1" x14ac:dyDescent="0.25">
      <c r="A85" t="s">
        <v>610</v>
      </c>
    </row>
    <row r="86" spans="1:1" x14ac:dyDescent="0.25">
      <c r="A86" t="s">
        <v>606</v>
      </c>
    </row>
    <row r="87" spans="1:1" x14ac:dyDescent="0.25">
      <c r="A87" t="s">
        <v>231</v>
      </c>
    </row>
    <row r="88" spans="1:1" x14ac:dyDescent="0.25">
      <c r="A88" t="s">
        <v>601</v>
      </c>
    </row>
    <row r="89" spans="1:1" x14ac:dyDescent="0.25">
      <c r="A89" t="s">
        <v>311</v>
      </c>
    </row>
    <row r="90" spans="1:1" x14ac:dyDescent="0.25">
      <c r="A90" t="s">
        <v>319</v>
      </c>
    </row>
    <row r="91" spans="1:1" x14ac:dyDescent="0.25">
      <c r="A91" t="s">
        <v>299</v>
      </c>
    </row>
    <row r="92" spans="1:1" x14ac:dyDescent="0.25">
      <c r="A92" t="s">
        <v>907</v>
      </c>
    </row>
    <row r="93" spans="1:1" x14ac:dyDescent="0.25">
      <c r="A93" t="s">
        <v>92</v>
      </c>
    </row>
    <row r="94" spans="1:1" x14ac:dyDescent="0.25">
      <c r="A94" t="s">
        <v>88</v>
      </c>
    </row>
    <row r="95" spans="1:1" x14ac:dyDescent="0.25">
      <c r="A95" t="s">
        <v>82</v>
      </c>
    </row>
    <row r="96" spans="1:1" x14ac:dyDescent="0.25">
      <c r="A96" t="s">
        <v>327</v>
      </c>
    </row>
    <row r="97" spans="1:1" x14ac:dyDescent="0.25">
      <c r="A97" t="s">
        <v>323</v>
      </c>
    </row>
    <row r="98" spans="1:1" x14ac:dyDescent="0.25">
      <c r="A98" t="s">
        <v>315</v>
      </c>
    </row>
    <row r="99" spans="1:1" x14ac:dyDescent="0.25">
      <c r="A99" t="s">
        <v>307</v>
      </c>
    </row>
    <row r="100" spans="1:1" x14ac:dyDescent="0.25">
      <c r="A100" t="s">
        <v>674</v>
      </c>
    </row>
    <row r="101" spans="1:1" x14ac:dyDescent="0.25">
      <c r="A101" t="s">
        <v>657</v>
      </c>
    </row>
    <row r="102" spans="1:1" x14ac:dyDescent="0.25">
      <c r="A102" t="s">
        <v>911</v>
      </c>
    </row>
    <row r="103" spans="1:1" x14ac:dyDescent="0.25">
      <c r="A103" t="s">
        <v>530</v>
      </c>
    </row>
    <row r="104" spans="1:1" x14ac:dyDescent="0.25">
      <c r="A104" t="s">
        <v>690</v>
      </c>
    </row>
    <row r="105" spans="1:1" x14ac:dyDescent="0.25">
      <c r="A105" t="s">
        <v>593</v>
      </c>
    </row>
    <row r="106" spans="1:1" x14ac:dyDescent="0.25">
      <c r="A106" t="s">
        <v>534</v>
      </c>
    </row>
    <row r="107" spans="1:1" x14ac:dyDescent="0.25">
      <c r="A107" t="s">
        <v>682</v>
      </c>
    </row>
    <row r="108" spans="1:1" x14ac:dyDescent="0.25">
      <c r="A108" t="s">
        <v>665</v>
      </c>
    </row>
    <row r="109" spans="1:1" x14ac:dyDescent="0.25">
      <c r="A109" t="s">
        <v>627</v>
      </c>
    </row>
    <row r="110" spans="1:1" x14ac:dyDescent="0.25">
      <c r="A110" t="s">
        <v>253</v>
      </c>
    </row>
    <row r="111" spans="1:1" x14ac:dyDescent="0.25">
      <c r="A111" t="s">
        <v>249</v>
      </c>
    </row>
    <row r="112" spans="1:1" x14ac:dyDescent="0.25">
      <c r="A112" t="s">
        <v>670</v>
      </c>
    </row>
    <row r="113" spans="1:1" x14ac:dyDescent="0.25">
      <c r="A113" t="s">
        <v>219</v>
      </c>
    </row>
    <row r="114" spans="1:1" x14ac:dyDescent="0.25">
      <c r="A114" t="s">
        <v>525</v>
      </c>
    </row>
    <row r="115" spans="1:1" x14ac:dyDescent="0.25">
      <c r="A115" t="s">
        <v>124</v>
      </c>
    </row>
    <row r="116" spans="1:1" x14ac:dyDescent="0.25">
      <c r="A116" t="s">
        <v>38</v>
      </c>
    </row>
    <row r="117" spans="1:1" x14ac:dyDescent="0.25">
      <c r="A117" t="s">
        <v>843</v>
      </c>
    </row>
    <row r="118" spans="1:1" x14ac:dyDescent="0.25">
      <c r="A118" t="s">
        <v>859</v>
      </c>
    </row>
    <row r="119" spans="1:1" x14ac:dyDescent="0.25">
      <c r="A119" t="s">
        <v>34</v>
      </c>
    </row>
    <row r="120" spans="1:1" x14ac:dyDescent="0.25">
      <c r="A120" t="s">
        <v>42</v>
      </c>
    </row>
    <row r="121" spans="1:1" x14ac:dyDescent="0.25">
      <c r="A121" t="s">
        <v>120</v>
      </c>
    </row>
    <row r="122" spans="1:1" x14ac:dyDescent="0.25">
      <c r="A122" t="s">
        <v>27</v>
      </c>
    </row>
    <row r="123" spans="1:1" x14ac:dyDescent="0.25">
      <c r="A123" t="s">
        <v>551</v>
      </c>
    </row>
    <row r="124" spans="1:1" x14ac:dyDescent="0.25">
      <c r="A124" t="s">
        <v>295</v>
      </c>
    </row>
    <row r="125" spans="1:1" x14ac:dyDescent="0.25">
      <c r="A125" t="s">
        <v>303</v>
      </c>
    </row>
    <row r="126" spans="1:1" x14ac:dyDescent="0.25">
      <c r="A126" t="s">
        <v>504</v>
      </c>
    </row>
    <row r="127" spans="1:1" x14ac:dyDescent="0.25">
      <c r="A127" t="s">
        <v>576</v>
      </c>
    </row>
    <row r="128" spans="1:1" x14ac:dyDescent="0.25">
      <c r="A128" t="s">
        <v>867</v>
      </c>
    </row>
    <row r="129" spans="1:1" x14ac:dyDescent="0.25">
      <c r="A129" t="s">
        <v>282</v>
      </c>
    </row>
    <row r="130" spans="1:1" x14ac:dyDescent="0.25">
      <c r="A130" t="s">
        <v>678</v>
      </c>
    </row>
    <row r="131" spans="1:1" x14ac:dyDescent="0.25">
      <c r="A131" t="s">
        <v>780</v>
      </c>
    </row>
    <row r="132" spans="1:1" x14ac:dyDescent="0.25">
      <c r="A132" t="s">
        <v>760</v>
      </c>
    </row>
    <row r="133" spans="1:1" x14ac:dyDescent="0.25">
      <c r="A133" t="s">
        <v>755</v>
      </c>
    </row>
    <row r="134" spans="1:1" x14ac:dyDescent="0.25">
      <c r="A134" t="s">
        <v>182</v>
      </c>
    </row>
    <row r="135" spans="1:1" x14ac:dyDescent="0.25">
      <c r="A135" t="s">
        <v>863</v>
      </c>
    </row>
    <row r="136" spans="1:1" x14ac:dyDescent="0.25">
      <c r="A136" t="s">
        <v>235</v>
      </c>
    </row>
    <row r="137" spans="1:1" x14ac:dyDescent="0.25">
      <c r="A137" t="s">
        <v>239</v>
      </c>
    </row>
    <row r="138" spans="1:1" x14ac:dyDescent="0.25">
      <c r="A138" t="s">
        <v>69</v>
      </c>
    </row>
    <row r="139" spans="1:1" x14ac:dyDescent="0.25">
      <c r="A139" t="s">
        <v>714</v>
      </c>
    </row>
    <row r="140" spans="1:1" x14ac:dyDescent="0.25">
      <c r="A140" t="s">
        <v>195</v>
      </c>
    </row>
    <row r="141" spans="1:1" x14ac:dyDescent="0.25">
      <c r="A141" t="s">
        <v>686</v>
      </c>
    </row>
    <row r="142" spans="1:1" x14ac:dyDescent="0.25">
      <c r="A142" t="s">
        <v>54</v>
      </c>
    </row>
    <row r="143" spans="1:1" x14ac:dyDescent="0.25">
      <c r="A143" t="s">
        <v>871</v>
      </c>
    </row>
    <row r="144" spans="1:1" x14ac:dyDescent="0.25">
      <c r="A144" t="s">
        <v>879</v>
      </c>
    </row>
    <row r="145" spans="1:1" x14ac:dyDescent="0.25">
      <c r="A145" t="s">
        <v>639</v>
      </c>
    </row>
    <row r="146" spans="1:1" x14ac:dyDescent="0.25">
      <c r="A146" t="s">
        <v>207</v>
      </c>
    </row>
    <row r="147" spans="1:1" x14ac:dyDescent="0.25">
      <c r="A147" t="s">
        <v>170</v>
      </c>
    </row>
    <row r="148" spans="1:1" x14ac:dyDescent="0.25">
      <c r="A148" t="s">
        <v>847</v>
      </c>
    </row>
    <row r="149" spans="1:1" x14ac:dyDescent="0.25">
      <c r="A149" t="s">
        <v>623</v>
      </c>
    </row>
    <row r="150" spans="1:1" x14ac:dyDescent="0.25">
      <c r="A150" t="s">
        <v>215</v>
      </c>
    </row>
    <row r="151" spans="1:1" x14ac:dyDescent="0.25">
      <c r="A151" t="s">
        <v>543</v>
      </c>
    </row>
    <row r="152" spans="1:1" x14ac:dyDescent="0.25">
      <c r="A152" t="s">
        <v>855</v>
      </c>
    </row>
    <row r="153" spans="1:1" x14ac:dyDescent="0.25">
      <c r="A153" t="s">
        <v>227</v>
      </c>
    </row>
    <row r="154" spans="1:1" x14ac:dyDescent="0.25">
      <c r="A154" t="s">
        <v>199</v>
      </c>
    </row>
    <row r="155" spans="1:1" x14ac:dyDescent="0.25">
      <c r="A155" t="s">
        <v>286</v>
      </c>
    </row>
    <row r="156" spans="1:1" x14ac:dyDescent="0.25">
      <c r="A156" t="s">
        <v>291</v>
      </c>
    </row>
    <row r="157" spans="1:1" x14ac:dyDescent="0.25">
      <c r="A157" t="s">
        <v>65</v>
      </c>
    </row>
    <row r="158" spans="1:1" x14ac:dyDescent="0.25">
      <c r="A158" t="s">
        <v>178</v>
      </c>
    </row>
    <row r="159" spans="1:1" x14ac:dyDescent="0.25">
      <c r="A159" t="s">
        <v>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 - 20250725</vt:lpstr>
      <vt:lpstr>WithCOI</vt:lpstr>
      <vt:lpstr>WithITS2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Bennedick Quijano</cp:lastModifiedBy>
  <dcterms:created xsi:type="dcterms:W3CDTF">2025-07-25T07:12:41Z</dcterms:created>
  <dcterms:modified xsi:type="dcterms:W3CDTF">2025-07-29T08:49:23Z</dcterms:modified>
</cp:coreProperties>
</file>